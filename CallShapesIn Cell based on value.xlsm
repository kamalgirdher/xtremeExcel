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65" windowWidth="14805" windowHeight="7950" activeTab="1"/>
  </bookViews>
  <sheets>
    <sheet name="Main Sheet" sheetId="1" r:id="rId1"/>
    <sheet name="Shape 1" sheetId="2" r:id="rId2"/>
    <sheet name="wt per m" sheetId="3" r:id="rId3"/>
    <sheet name="ring file" sheetId="4" r:id="rId4"/>
  </sheets>
  <externalReferences>
    <externalReference r:id="rId5"/>
  </externalReferences>
  <definedNames>
    <definedName name="TYPE">[1]Sheet2!$B$4:$B$12</definedName>
  </definedNames>
  <calcPr calcId="145621"/>
</workbook>
</file>

<file path=xl/calcChain.xml><?xml version="1.0" encoding="utf-8"?>
<calcChain xmlns="http://schemas.openxmlformats.org/spreadsheetml/2006/main">
  <c r="L33" i="4" l="1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K14" i="4"/>
  <c r="L13" i="4"/>
  <c r="K13" i="4"/>
  <c r="L12" i="4"/>
  <c r="K12" i="4"/>
  <c r="L11" i="4"/>
  <c r="K11" i="4"/>
  <c r="L10" i="4"/>
  <c r="K10" i="4"/>
  <c r="L9" i="4"/>
  <c r="K9" i="4"/>
  <c r="L8" i="4"/>
  <c r="K8" i="4"/>
  <c r="L7" i="4"/>
  <c r="K7" i="4"/>
  <c r="L6" i="4"/>
  <c r="K6" i="4"/>
  <c r="K5" i="4"/>
  <c r="H5" i="4"/>
  <c r="G5" i="4"/>
  <c r="E5" i="4"/>
  <c r="O5" i="4" s="1"/>
  <c r="K4" i="4"/>
  <c r="H4" i="4"/>
  <c r="G4" i="4"/>
  <c r="E4" i="4"/>
  <c r="O4" i="4" s="1"/>
  <c r="L4" i="4" l="1"/>
  <c r="L5" i="4"/>
  <c r="G5" i="1"/>
  <c r="Q5" i="1"/>
  <c r="H4" i="1" l="1"/>
  <c r="G4" i="1"/>
  <c r="Q4" i="1" s="1"/>
</calcChain>
</file>

<file path=xl/sharedStrings.xml><?xml version="1.0" encoding="utf-8"?>
<sst xmlns="http://schemas.openxmlformats.org/spreadsheetml/2006/main" count="38" uniqueCount="33">
  <si>
    <t>Code</t>
  </si>
  <si>
    <t>Shape</t>
  </si>
  <si>
    <t>Sr No</t>
  </si>
  <si>
    <t>Location</t>
  </si>
  <si>
    <t>Mark Desination</t>
  </si>
  <si>
    <t xml:space="preserve">Size </t>
  </si>
  <si>
    <t>Number of Set</t>
  </si>
  <si>
    <t>Number Per Set</t>
  </si>
  <si>
    <t>Total Number</t>
  </si>
  <si>
    <t>Length(m)</t>
  </si>
  <si>
    <t>A</t>
  </si>
  <si>
    <t>B</t>
  </si>
  <si>
    <t>C</t>
  </si>
  <si>
    <t>D</t>
  </si>
  <si>
    <t>E</t>
  </si>
  <si>
    <t>F</t>
  </si>
  <si>
    <t>Wt.</t>
  </si>
  <si>
    <t>Dia</t>
  </si>
  <si>
    <t>Kg/m</t>
  </si>
  <si>
    <t>width(m)</t>
  </si>
  <si>
    <t>height(m)</t>
  </si>
  <si>
    <t>Cover</t>
  </si>
  <si>
    <t>Length after cover deduction</t>
  </si>
  <si>
    <t>Width after cover deduction</t>
  </si>
  <si>
    <t>Type</t>
  </si>
  <si>
    <t>No of Hook</t>
  </si>
  <si>
    <t xml:space="preserve">Hook </t>
  </si>
  <si>
    <t>Length of Ring(m)</t>
  </si>
  <si>
    <t>dia of bar</t>
  </si>
  <si>
    <t>Spacing</t>
  </si>
  <si>
    <t>Nos of Ring</t>
  </si>
  <si>
    <t>Star</t>
  </si>
  <si>
    <t>Square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</si>
</sst>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C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0" fillId="0" borderId="0" xfId="0" applyAlignment="1">
      <alignment horizontal="right" vertical="center"/>
    </xf>
    <xf numFmtId="0" fontId="1" fillId="0" borderId="0" xfId="0" applyFont="1"/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164" fontId="3" fillId="0" borderId="0" xfId="1" applyNumberFormat="1" applyFont="1" applyFill="1" applyBorder="1" applyAlignment="1">
      <alignment horizontal="right"/>
    </xf>
    <xf numFmtId="0" fontId="1" fillId="0" borderId="0" xfId="0" applyFont="1" applyAlignment="1">
      <alignment vertical="top" wrapText="1"/>
    </xf>
    <xf numFmtId="49" fontId="1" fillId="0" borderId="0" xfId="0" applyNumberFormat="1" applyFont="1" applyAlignment="1">
      <alignment vertical="top" wrapText="1"/>
    </xf>
    <xf numFmtId="2" fontId="1" fillId="0" borderId="0" xfId="0" applyNumberFormat="1" applyFont="1" applyAlignment="1">
      <alignment vertical="top" wrapText="1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2" fontId="0" fillId="0" borderId="0" xfId="0" applyNumberFormat="1" applyAlignment="1">
      <alignment vertical="top"/>
    </xf>
    <xf numFmtId="1" fontId="0" fillId="0" borderId="0" xfId="0" applyNumberFormat="1" applyAlignment="1">
      <alignment vertical="top"/>
    </xf>
  </cellXfs>
  <cellStyles count="2">
    <cellStyle name="Normal" xfId="0" builtinId="0"/>
    <cellStyle name="Normal 3" xfId="1"/>
  </cellStyles>
  <dxfs count="1">
    <dxf>
      <font>
        <condense val="0"/>
        <extend val="0"/>
        <color indexed="1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0</xdr:rowOff>
    </xdr:from>
    <xdr:to>
      <xdr:col>1</xdr:col>
      <xdr:colOff>1085850</xdr:colOff>
      <xdr:row>2</xdr:row>
      <xdr:rowOff>247650</xdr:rowOff>
    </xdr:to>
    <xdr:grpSp>
      <xdr:nvGrpSpPr>
        <xdr:cNvPr id="2" name="shape1"/>
        <xdr:cNvGrpSpPr/>
      </xdr:nvGrpSpPr>
      <xdr:grpSpPr>
        <a:xfrm>
          <a:off x="819150" y="381000"/>
          <a:ext cx="876300" cy="247650"/>
          <a:chOff x="819150" y="381000"/>
          <a:chExt cx="876300" cy="247650"/>
        </a:xfrm>
      </xdr:grpSpPr>
      <xdr:cxnSp macro="">
        <xdr:nvCxnSpPr>
          <xdr:cNvPr id="3" name="100"/>
          <xdr:cNvCxnSpPr/>
        </xdr:nvCxnSpPr>
        <xdr:spPr>
          <a:xfrm>
            <a:off x="819150" y="628650"/>
            <a:ext cx="876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4" name="TextBox 3"/>
          <xdr:cNvSpPr txBox="1"/>
        </xdr:nvSpPr>
        <xdr:spPr>
          <a:xfrm>
            <a:off x="1181100" y="381000"/>
            <a:ext cx="266291" cy="2169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r>
              <a:rPr lang="en-US" sz="1100"/>
              <a:t>A</a:t>
            </a:r>
          </a:p>
        </xdr:txBody>
      </xdr:sp>
    </xdr:grpSp>
    <xdr:clientData/>
  </xdr:twoCellAnchor>
  <xdr:twoCellAnchor>
    <xdr:from>
      <xdr:col>1</xdr:col>
      <xdr:colOff>209550</xdr:colOff>
      <xdr:row>3</xdr:row>
      <xdr:rowOff>28576</xdr:rowOff>
    </xdr:from>
    <xdr:to>
      <xdr:col>1</xdr:col>
      <xdr:colOff>1114425</xdr:colOff>
      <xdr:row>3</xdr:row>
      <xdr:rowOff>247650</xdr:rowOff>
    </xdr:to>
    <xdr:sp macro="" textlink="">
      <xdr:nvSpPr>
        <xdr:cNvPr id="5" name="101"/>
        <xdr:cNvSpPr>
          <a:spLocks/>
        </xdr:cNvSpPr>
      </xdr:nvSpPr>
      <xdr:spPr bwMode="auto">
        <a:xfrm>
          <a:off x="895350" y="781051"/>
          <a:ext cx="904875" cy="219074"/>
        </a:xfrm>
        <a:custGeom>
          <a:avLst/>
          <a:gdLst/>
          <a:ahLst/>
          <a:cxnLst>
            <a:cxn ang="0">
              <a:pos x="0" y="0"/>
            </a:cxn>
            <a:cxn ang="0">
              <a:pos x="0" y="19"/>
            </a:cxn>
            <a:cxn ang="0">
              <a:pos x="2" y="22"/>
            </a:cxn>
            <a:cxn ang="0">
              <a:pos x="69" y="22"/>
            </a:cxn>
          </a:cxnLst>
          <a:rect l="0" t="0" r="r" b="b"/>
          <a:pathLst>
            <a:path w="69" h="22">
              <a:moveTo>
                <a:pt x="0" y="0"/>
              </a:moveTo>
              <a:cubicBezTo>
                <a:pt x="0" y="0"/>
                <a:pt x="0" y="9"/>
                <a:pt x="0" y="19"/>
              </a:cubicBezTo>
              <a:cubicBezTo>
                <a:pt x="0" y="22"/>
                <a:pt x="2" y="22"/>
                <a:pt x="2" y="22"/>
              </a:cubicBezTo>
              <a:lnTo>
                <a:pt x="69" y="22"/>
              </a:lnTo>
            </a:path>
          </a:pathLst>
        </a:cu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sp>
    <xdr:clientData/>
  </xdr:twoCellAnchor>
  <xdr:oneCellAnchor>
    <xdr:from>
      <xdr:col>1</xdr:col>
      <xdr:colOff>571500</xdr:colOff>
      <xdr:row>3</xdr:row>
      <xdr:rowOff>28575</xdr:rowOff>
    </xdr:from>
    <xdr:ext cx="209549" cy="219075"/>
    <xdr:sp macro="" textlink="">
      <xdr:nvSpPr>
        <xdr:cNvPr id="6" name="TextBox 5"/>
        <xdr:cNvSpPr txBox="1"/>
      </xdr:nvSpPr>
      <xdr:spPr>
        <a:xfrm>
          <a:off x="1257300" y="781050"/>
          <a:ext cx="209549" cy="219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A</a:t>
          </a:r>
        </a:p>
      </xdr:txBody>
    </xdr:sp>
    <xdr:clientData/>
  </xdr:oneCellAnchor>
  <xdr:oneCellAnchor>
    <xdr:from>
      <xdr:col>1</xdr:col>
      <xdr:colOff>76201</xdr:colOff>
      <xdr:row>3</xdr:row>
      <xdr:rowOff>38101</xdr:rowOff>
    </xdr:from>
    <xdr:ext cx="57149" cy="228600"/>
    <xdr:sp macro="" textlink="">
      <xdr:nvSpPr>
        <xdr:cNvPr id="7" name="TextBox 6"/>
        <xdr:cNvSpPr txBox="1"/>
      </xdr:nvSpPr>
      <xdr:spPr>
        <a:xfrm>
          <a:off x="762001" y="790576"/>
          <a:ext cx="57149" cy="228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B</a:t>
          </a:r>
        </a:p>
      </xdr:txBody>
    </xdr:sp>
    <xdr:clientData/>
  </xdr:oneCellAnchor>
  <xdr:twoCellAnchor>
    <xdr:from>
      <xdr:col>1</xdr:col>
      <xdr:colOff>171450</xdr:colOff>
      <xdr:row>4</xdr:row>
      <xdr:rowOff>152399</xdr:rowOff>
    </xdr:from>
    <xdr:to>
      <xdr:col>1</xdr:col>
      <xdr:colOff>1181100</xdr:colOff>
      <xdr:row>4</xdr:row>
      <xdr:rowOff>323850</xdr:rowOff>
    </xdr:to>
    <xdr:sp macro="" textlink="">
      <xdr:nvSpPr>
        <xdr:cNvPr id="8" name="102"/>
        <xdr:cNvSpPr>
          <a:spLocks/>
        </xdr:cNvSpPr>
      </xdr:nvSpPr>
      <xdr:spPr bwMode="auto">
        <a:xfrm>
          <a:off x="857250" y="1238249"/>
          <a:ext cx="1009650" cy="171451"/>
        </a:xfrm>
        <a:custGeom>
          <a:avLst/>
          <a:gdLst/>
          <a:ahLst/>
          <a:cxnLst>
            <a:cxn ang="0">
              <a:pos x="0" y="0"/>
            </a:cxn>
            <a:cxn ang="0">
              <a:pos x="0" y="15"/>
            </a:cxn>
            <a:cxn ang="0">
              <a:pos x="2" y="18"/>
            </a:cxn>
            <a:cxn ang="0">
              <a:pos x="60" y="18"/>
            </a:cxn>
            <a:cxn ang="0">
              <a:pos x="63" y="15"/>
            </a:cxn>
            <a:cxn ang="0">
              <a:pos x="63" y="0"/>
            </a:cxn>
          </a:cxnLst>
          <a:rect l="0" t="0" r="r" b="b"/>
          <a:pathLst>
            <a:path w="63" h="18">
              <a:moveTo>
                <a:pt x="0" y="0"/>
              </a:moveTo>
              <a:cubicBezTo>
                <a:pt x="0" y="2"/>
                <a:pt x="0" y="12"/>
                <a:pt x="0" y="15"/>
              </a:cubicBezTo>
              <a:cubicBezTo>
                <a:pt x="0" y="18"/>
                <a:pt x="2" y="18"/>
                <a:pt x="2" y="18"/>
              </a:cubicBezTo>
              <a:lnTo>
                <a:pt x="60" y="18"/>
              </a:lnTo>
              <a:cubicBezTo>
                <a:pt x="60" y="18"/>
                <a:pt x="63" y="18"/>
                <a:pt x="63" y="15"/>
              </a:cubicBezTo>
              <a:cubicBezTo>
                <a:pt x="63" y="7"/>
                <a:pt x="63" y="0"/>
                <a:pt x="63" y="0"/>
              </a:cubicBezTo>
            </a:path>
          </a:pathLst>
        </a:cu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sp>
    <xdr:clientData/>
  </xdr:twoCellAnchor>
  <xdr:oneCellAnchor>
    <xdr:from>
      <xdr:col>1</xdr:col>
      <xdr:colOff>561975</xdr:colOff>
      <xdr:row>4</xdr:row>
      <xdr:rowOff>76200</xdr:rowOff>
    </xdr:from>
    <xdr:ext cx="190499" cy="219075"/>
    <xdr:sp macro="" textlink="">
      <xdr:nvSpPr>
        <xdr:cNvPr id="9" name="TextBox 8"/>
        <xdr:cNvSpPr txBox="1"/>
      </xdr:nvSpPr>
      <xdr:spPr>
        <a:xfrm>
          <a:off x="1247775" y="1162050"/>
          <a:ext cx="190499" cy="219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A</a:t>
          </a:r>
        </a:p>
      </xdr:txBody>
    </xdr:sp>
    <xdr:clientData/>
  </xdr:oneCellAnchor>
  <xdr:oneCellAnchor>
    <xdr:from>
      <xdr:col>1</xdr:col>
      <xdr:colOff>0</xdr:colOff>
      <xdr:row>4</xdr:row>
      <xdr:rowOff>95250</xdr:rowOff>
    </xdr:from>
    <xdr:ext cx="123825" cy="228600"/>
    <xdr:sp macro="" textlink="">
      <xdr:nvSpPr>
        <xdr:cNvPr id="10" name="TextBox 9"/>
        <xdr:cNvSpPr txBox="1"/>
      </xdr:nvSpPr>
      <xdr:spPr>
        <a:xfrm>
          <a:off x="685800" y="1181100"/>
          <a:ext cx="123825" cy="228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B</a:t>
          </a:r>
        </a:p>
      </xdr:txBody>
    </xdr:sp>
    <xdr:clientData/>
  </xdr:oneCellAnchor>
  <xdr:oneCellAnchor>
    <xdr:from>
      <xdr:col>1</xdr:col>
      <xdr:colOff>1142999</xdr:colOff>
      <xdr:row>4</xdr:row>
      <xdr:rowOff>133350</xdr:rowOff>
    </xdr:from>
    <xdr:ext cx="295276" cy="180975"/>
    <xdr:sp macro="" textlink="">
      <xdr:nvSpPr>
        <xdr:cNvPr id="11" name="TextBox 10"/>
        <xdr:cNvSpPr txBox="1"/>
      </xdr:nvSpPr>
      <xdr:spPr>
        <a:xfrm>
          <a:off x="1828799" y="1219200"/>
          <a:ext cx="295276" cy="1809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r>
            <a:rPr lang="en-US" sz="1100"/>
            <a:t>C</a:t>
          </a:r>
        </a:p>
      </xdr:txBody>
    </xdr:sp>
    <xdr:clientData/>
  </xdr:oneCellAnchor>
  <xdr:twoCellAnchor>
    <xdr:from>
      <xdr:col>1</xdr:col>
      <xdr:colOff>323850</xdr:colOff>
      <xdr:row>5</xdr:row>
      <xdr:rowOff>19050</xdr:rowOff>
    </xdr:from>
    <xdr:to>
      <xdr:col>1</xdr:col>
      <xdr:colOff>1228725</xdr:colOff>
      <xdr:row>5</xdr:row>
      <xdr:rowOff>476250</xdr:rowOff>
    </xdr:to>
    <xdr:sp macro="" textlink="">
      <xdr:nvSpPr>
        <xdr:cNvPr id="12" name="103"/>
        <xdr:cNvSpPr>
          <a:spLocks/>
        </xdr:cNvSpPr>
      </xdr:nvSpPr>
      <xdr:spPr bwMode="auto">
        <a:xfrm>
          <a:off x="1009650" y="1485900"/>
          <a:ext cx="904875" cy="457200"/>
        </a:xfrm>
        <a:custGeom>
          <a:avLst/>
          <a:gdLst/>
          <a:ahLst/>
          <a:cxnLst>
            <a:cxn ang="0">
              <a:pos x="0" y="39"/>
            </a:cxn>
            <a:cxn ang="0">
              <a:pos x="56" y="39"/>
            </a:cxn>
            <a:cxn ang="0">
              <a:pos x="95" y="0"/>
            </a:cxn>
          </a:cxnLst>
          <a:rect l="0" t="0" r="r" b="b"/>
          <a:pathLst>
            <a:path w="95" h="39">
              <a:moveTo>
                <a:pt x="0" y="39"/>
              </a:moveTo>
              <a:lnTo>
                <a:pt x="56" y="39"/>
              </a:lnTo>
              <a:lnTo>
                <a:pt x="95" y="0"/>
              </a:lnTo>
            </a:path>
          </a:pathLst>
        </a:cu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sp>
    <xdr:clientData/>
  </xdr:twoCellAnchor>
  <xdr:oneCellAnchor>
    <xdr:from>
      <xdr:col>1</xdr:col>
      <xdr:colOff>542925</xdr:colOff>
      <xdr:row>5</xdr:row>
      <xdr:rowOff>238124</xdr:rowOff>
    </xdr:from>
    <xdr:ext cx="266291" cy="216935"/>
    <xdr:sp macro="" textlink="">
      <xdr:nvSpPr>
        <xdr:cNvPr id="13" name="TextBox 12"/>
        <xdr:cNvSpPr txBox="1"/>
      </xdr:nvSpPr>
      <xdr:spPr>
        <a:xfrm>
          <a:off x="1228725" y="1704974"/>
          <a:ext cx="266291" cy="2169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A</a:t>
          </a:r>
        </a:p>
      </xdr:txBody>
    </xdr:sp>
    <xdr:clientData/>
  </xdr:oneCellAnchor>
  <xdr:oneCellAnchor>
    <xdr:from>
      <xdr:col>1</xdr:col>
      <xdr:colOff>866775</xdr:colOff>
      <xdr:row>5</xdr:row>
      <xdr:rowOff>38100</xdr:rowOff>
    </xdr:from>
    <xdr:ext cx="200025" cy="180976"/>
    <xdr:sp macro="" textlink="">
      <xdr:nvSpPr>
        <xdr:cNvPr id="14" name="TextBox 13"/>
        <xdr:cNvSpPr txBox="1"/>
      </xdr:nvSpPr>
      <xdr:spPr>
        <a:xfrm>
          <a:off x="1552575" y="1504950"/>
          <a:ext cx="200025" cy="1809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B</a:t>
          </a:r>
        </a:p>
      </xdr:txBody>
    </xdr:sp>
    <xdr:clientData/>
  </xdr:oneCellAnchor>
  <xdr:twoCellAnchor>
    <xdr:from>
      <xdr:col>1</xdr:col>
      <xdr:colOff>438150</xdr:colOff>
      <xdr:row>6</xdr:row>
      <xdr:rowOff>85725</xdr:rowOff>
    </xdr:from>
    <xdr:to>
      <xdr:col>1</xdr:col>
      <xdr:colOff>1085850</xdr:colOff>
      <xdr:row>6</xdr:row>
      <xdr:rowOff>495300</xdr:rowOff>
    </xdr:to>
    <xdr:sp macro="" textlink="">
      <xdr:nvSpPr>
        <xdr:cNvPr id="15" name="104"/>
        <xdr:cNvSpPr>
          <a:spLocks/>
        </xdr:cNvSpPr>
      </xdr:nvSpPr>
      <xdr:spPr bwMode="auto">
        <a:xfrm>
          <a:off x="1123950" y="2066925"/>
          <a:ext cx="647700" cy="409575"/>
        </a:xfrm>
        <a:custGeom>
          <a:avLst/>
          <a:gdLst/>
          <a:ahLst/>
          <a:cxnLst>
            <a:cxn ang="0">
              <a:pos x="0" y="0"/>
            </a:cxn>
            <a:cxn ang="0">
              <a:pos x="0" y="15"/>
            </a:cxn>
            <a:cxn ang="0">
              <a:pos x="3" y="17"/>
            </a:cxn>
            <a:cxn ang="0">
              <a:pos x="95" y="17"/>
            </a:cxn>
            <a:cxn ang="0">
              <a:pos x="97" y="19"/>
            </a:cxn>
            <a:cxn ang="0">
              <a:pos x="97" y="33"/>
            </a:cxn>
          </a:cxnLst>
          <a:rect l="0" t="0" r="r" b="b"/>
          <a:pathLst>
            <a:path w="97" h="33">
              <a:moveTo>
                <a:pt x="0" y="0"/>
              </a:moveTo>
              <a:cubicBezTo>
                <a:pt x="0" y="0"/>
                <a:pt x="0" y="7"/>
                <a:pt x="0" y="15"/>
              </a:cubicBezTo>
              <a:cubicBezTo>
                <a:pt x="0" y="17"/>
                <a:pt x="3" y="17"/>
                <a:pt x="3" y="17"/>
              </a:cubicBezTo>
              <a:cubicBezTo>
                <a:pt x="3" y="17"/>
                <a:pt x="49" y="17"/>
                <a:pt x="95" y="17"/>
              </a:cubicBezTo>
              <a:cubicBezTo>
                <a:pt x="97" y="17"/>
                <a:pt x="97" y="19"/>
                <a:pt x="97" y="19"/>
              </a:cubicBezTo>
              <a:lnTo>
                <a:pt x="97" y="33"/>
              </a:lnTo>
            </a:path>
          </a:pathLst>
        </a:cu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sp>
    <xdr:clientData/>
  </xdr:twoCellAnchor>
  <xdr:oneCellAnchor>
    <xdr:from>
      <xdr:col>1</xdr:col>
      <xdr:colOff>219075</xdr:colOff>
      <xdr:row>6</xdr:row>
      <xdr:rowOff>28575</xdr:rowOff>
    </xdr:from>
    <xdr:ext cx="261418" cy="264560"/>
    <xdr:sp macro="" textlink="">
      <xdr:nvSpPr>
        <xdr:cNvPr id="16" name="TextBox 15"/>
        <xdr:cNvSpPr txBox="1"/>
      </xdr:nvSpPr>
      <xdr:spPr>
        <a:xfrm>
          <a:off x="904875" y="2009775"/>
          <a:ext cx="26141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/>
            <a:t>B</a:t>
          </a:r>
        </a:p>
      </xdr:txBody>
    </xdr:sp>
    <xdr:clientData/>
  </xdr:oneCellAnchor>
  <xdr:oneCellAnchor>
    <xdr:from>
      <xdr:col>1</xdr:col>
      <xdr:colOff>523875</xdr:colOff>
      <xdr:row>6</xdr:row>
      <xdr:rowOff>66674</xdr:rowOff>
    </xdr:from>
    <xdr:ext cx="266291" cy="235985"/>
    <xdr:sp macro="" textlink="">
      <xdr:nvSpPr>
        <xdr:cNvPr id="17" name="TextBox 16"/>
        <xdr:cNvSpPr txBox="1"/>
      </xdr:nvSpPr>
      <xdr:spPr>
        <a:xfrm>
          <a:off x="1209675" y="2047874"/>
          <a:ext cx="266291" cy="2359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A</a:t>
          </a:r>
        </a:p>
      </xdr:txBody>
    </xdr:sp>
    <xdr:clientData/>
  </xdr:oneCellAnchor>
  <xdr:oneCellAnchor>
    <xdr:from>
      <xdr:col>1</xdr:col>
      <xdr:colOff>1085850</xdr:colOff>
      <xdr:row>6</xdr:row>
      <xdr:rowOff>257175</xdr:rowOff>
    </xdr:from>
    <xdr:ext cx="180975" cy="264560"/>
    <xdr:sp macro="" textlink="">
      <xdr:nvSpPr>
        <xdr:cNvPr id="18" name="TextBox 17"/>
        <xdr:cNvSpPr txBox="1"/>
      </xdr:nvSpPr>
      <xdr:spPr>
        <a:xfrm>
          <a:off x="1771650" y="2238375"/>
          <a:ext cx="1809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C</a:t>
          </a:r>
        </a:p>
      </xdr:txBody>
    </xdr:sp>
    <xdr:clientData/>
  </xdr:oneCellAnchor>
  <xdr:twoCellAnchor>
    <xdr:from>
      <xdr:col>1</xdr:col>
      <xdr:colOff>266699</xdr:colOff>
      <xdr:row>7</xdr:row>
      <xdr:rowOff>276224</xdr:rowOff>
    </xdr:from>
    <xdr:to>
      <xdr:col>1</xdr:col>
      <xdr:colOff>1304924</xdr:colOff>
      <xdr:row>7</xdr:row>
      <xdr:rowOff>571499</xdr:rowOff>
    </xdr:to>
    <xdr:sp macro="" textlink="">
      <xdr:nvSpPr>
        <xdr:cNvPr id="19" name="Freeform 11"/>
        <xdr:cNvSpPr>
          <a:spLocks/>
        </xdr:cNvSpPr>
      </xdr:nvSpPr>
      <xdr:spPr bwMode="auto">
        <a:xfrm>
          <a:off x="952499" y="2828924"/>
          <a:ext cx="1038225" cy="295275"/>
        </a:xfrm>
        <a:custGeom>
          <a:avLst/>
          <a:gdLst/>
          <a:ahLst/>
          <a:cxnLst>
            <a:cxn ang="0">
              <a:pos x="31" y="0"/>
            </a:cxn>
            <a:cxn ang="0">
              <a:pos x="90" y="0"/>
            </a:cxn>
            <a:cxn ang="0">
              <a:pos x="105" y="12"/>
            </a:cxn>
            <a:cxn ang="0">
              <a:pos x="91" y="24"/>
            </a:cxn>
            <a:cxn ang="0">
              <a:pos x="0" y="24"/>
            </a:cxn>
          </a:cxnLst>
          <a:rect l="0" t="0" r="r" b="b"/>
          <a:pathLst>
            <a:path w="105" h="25">
              <a:moveTo>
                <a:pt x="31" y="0"/>
              </a:moveTo>
              <a:cubicBezTo>
                <a:pt x="31" y="0"/>
                <a:pt x="60" y="0"/>
                <a:pt x="90" y="0"/>
              </a:cubicBezTo>
              <a:cubicBezTo>
                <a:pt x="105" y="0"/>
                <a:pt x="105" y="12"/>
                <a:pt x="105" y="12"/>
              </a:cubicBezTo>
              <a:cubicBezTo>
                <a:pt x="104" y="25"/>
                <a:pt x="91" y="24"/>
                <a:pt x="91" y="24"/>
              </a:cubicBezTo>
              <a:lnTo>
                <a:pt x="0" y="24"/>
              </a:lnTo>
            </a:path>
          </a:pathLst>
        </a:cu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sp>
    <xdr:clientData/>
  </xdr:twoCellAnchor>
  <xdr:oneCellAnchor>
    <xdr:from>
      <xdr:col>1</xdr:col>
      <xdr:colOff>561975</xdr:colOff>
      <xdr:row>7</xdr:row>
      <xdr:rowOff>333375</xdr:rowOff>
    </xdr:from>
    <xdr:ext cx="171450" cy="245510"/>
    <xdr:sp macro="" textlink="">
      <xdr:nvSpPr>
        <xdr:cNvPr id="20" name="TextBox 19"/>
        <xdr:cNvSpPr txBox="1"/>
      </xdr:nvSpPr>
      <xdr:spPr>
        <a:xfrm>
          <a:off x="1247775" y="2886075"/>
          <a:ext cx="171450" cy="2455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A</a:t>
          </a:r>
        </a:p>
      </xdr:txBody>
    </xdr:sp>
    <xdr:clientData/>
  </xdr:oneCellAnchor>
  <xdr:oneCellAnchor>
    <xdr:from>
      <xdr:col>1</xdr:col>
      <xdr:colOff>561975</xdr:colOff>
      <xdr:row>7</xdr:row>
      <xdr:rowOff>47625</xdr:rowOff>
    </xdr:from>
    <xdr:ext cx="259879" cy="188360"/>
    <xdr:sp macro="" textlink="">
      <xdr:nvSpPr>
        <xdr:cNvPr id="21" name="TextBox 20"/>
        <xdr:cNvSpPr txBox="1"/>
      </xdr:nvSpPr>
      <xdr:spPr>
        <a:xfrm>
          <a:off x="1247775" y="2600325"/>
          <a:ext cx="259879" cy="1883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C</a:t>
          </a:r>
        </a:p>
      </xdr:txBody>
    </xdr:sp>
    <xdr:clientData/>
  </xdr:oneCellAnchor>
  <xdr:oneCellAnchor>
    <xdr:from>
      <xdr:col>1</xdr:col>
      <xdr:colOff>1276350</xdr:colOff>
      <xdr:row>7</xdr:row>
      <xdr:rowOff>266700</xdr:rowOff>
    </xdr:from>
    <xdr:ext cx="142875" cy="264560"/>
    <xdr:sp macro="" textlink="">
      <xdr:nvSpPr>
        <xdr:cNvPr id="22" name="TextBox 21"/>
        <xdr:cNvSpPr txBox="1"/>
      </xdr:nvSpPr>
      <xdr:spPr>
        <a:xfrm>
          <a:off x="1962150" y="2819400"/>
          <a:ext cx="1428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B</a:t>
          </a:r>
        </a:p>
      </xdr:txBody>
    </xdr:sp>
    <xdr:clientData/>
  </xdr:oneCellAnchor>
  <xdr:twoCellAnchor>
    <xdr:from>
      <xdr:col>1</xdr:col>
      <xdr:colOff>361950</xdr:colOff>
      <xdr:row>8</xdr:row>
      <xdr:rowOff>0</xdr:rowOff>
    </xdr:from>
    <xdr:to>
      <xdr:col>1</xdr:col>
      <xdr:colOff>1276350</xdr:colOff>
      <xdr:row>8</xdr:row>
      <xdr:rowOff>390525</xdr:rowOff>
    </xdr:to>
    <xdr:sp macro="" textlink="">
      <xdr:nvSpPr>
        <xdr:cNvPr id="23" name="Freeform 28"/>
        <xdr:cNvSpPr>
          <a:spLocks/>
        </xdr:cNvSpPr>
      </xdr:nvSpPr>
      <xdr:spPr bwMode="auto">
        <a:xfrm>
          <a:off x="1047750" y="3228975"/>
          <a:ext cx="914400" cy="390525"/>
        </a:xfrm>
        <a:custGeom>
          <a:avLst/>
          <a:gdLst/>
          <a:ahLst/>
          <a:cxnLst>
            <a:cxn ang="0">
              <a:pos x="0" y="40"/>
            </a:cxn>
            <a:cxn ang="0">
              <a:pos x="53" y="40"/>
            </a:cxn>
            <a:cxn ang="0">
              <a:pos x="56" y="31"/>
            </a:cxn>
            <a:cxn ang="0">
              <a:pos x="11" y="0"/>
            </a:cxn>
          </a:cxnLst>
          <a:rect l="0" t="0" r="r" b="b"/>
          <a:pathLst>
            <a:path w="61" h="40">
              <a:moveTo>
                <a:pt x="0" y="40"/>
              </a:moveTo>
              <a:lnTo>
                <a:pt x="53" y="40"/>
              </a:lnTo>
              <a:cubicBezTo>
                <a:pt x="53" y="40"/>
                <a:pt x="61" y="38"/>
                <a:pt x="56" y="31"/>
              </a:cubicBezTo>
              <a:cubicBezTo>
                <a:pt x="33" y="15"/>
                <a:pt x="11" y="0"/>
                <a:pt x="11" y="0"/>
              </a:cubicBezTo>
            </a:path>
          </a:pathLst>
        </a:cu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sp>
    <xdr:clientData/>
  </xdr:twoCellAnchor>
  <xdr:oneCellAnchor>
    <xdr:from>
      <xdr:col>1</xdr:col>
      <xdr:colOff>581026</xdr:colOff>
      <xdr:row>8</xdr:row>
      <xdr:rowOff>161925</xdr:rowOff>
    </xdr:from>
    <xdr:ext cx="190500" cy="264560"/>
    <xdr:sp macro="" textlink="">
      <xdr:nvSpPr>
        <xdr:cNvPr id="24" name="TextBox 23"/>
        <xdr:cNvSpPr txBox="1"/>
      </xdr:nvSpPr>
      <xdr:spPr>
        <a:xfrm>
          <a:off x="1266826" y="3390900"/>
          <a:ext cx="190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A</a:t>
          </a:r>
        </a:p>
      </xdr:txBody>
    </xdr:sp>
    <xdr:clientData/>
  </xdr:oneCellAnchor>
  <xdr:oneCellAnchor>
    <xdr:from>
      <xdr:col>1</xdr:col>
      <xdr:colOff>942975</xdr:colOff>
      <xdr:row>7</xdr:row>
      <xdr:rowOff>628649</xdr:rowOff>
    </xdr:from>
    <xdr:ext cx="180975" cy="257175"/>
    <xdr:sp macro="" textlink="">
      <xdr:nvSpPr>
        <xdr:cNvPr id="25" name="TextBox 24"/>
        <xdr:cNvSpPr txBox="1"/>
      </xdr:nvSpPr>
      <xdr:spPr>
        <a:xfrm>
          <a:off x="1628775" y="3181349"/>
          <a:ext cx="180975" cy="2571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B</a:t>
          </a:r>
        </a:p>
      </xdr:txBody>
    </xdr:sp>
    <xdr:clientData/>
  </xdr:oneCellAnchor>
  <xdr:twoCellAnchor>
    <xdr:from>
      <xdr:col>1</xdr:col>
      <xdr:colOff>352425</xdr:colOff>
      <xdr:row>9</xdr:row>
      <xdr:rowOff>142875</xdr:rowOff>
    </xdr:from>
    <xdr:to>
      <xdr:col>1</xdr:col>
      <xdr:colOff>1200150</xdr:colOff>
      <xdr:row>9</xdr:row>
      <xdr:rowOff>390525</xdr:rowOff>
    </xdr:to>
    <xdr:sp macro="" textlink="">
      <xdr:nvSpPr>
        <xdr:cNvPr id="26" name="Freeform 37"/>
        <xdr:cNvSpPr>
          <a:spLocks/>
        </xdr:cNvSpPr>
      </xdr:nvSpPr>
      <xdr:spPr bwMode="auto">
        <a:xfrm>
          <a:off x="1038225" y="3838575"/>
          <a:ext cx="847725" cy="247650"/>
        </a:xfrm>
        <a:custGeom>
          <a:avLst/>
          <a:gdLst/>
          <a:ahLst/>
          <a:cxnLst>
            <a:cxn ang="0">
              <a:pos x="0" y="23"/>
            </a:cxn>
            <a:cxn ang="0">
              <a:pos x="30" y="0"/>
            </a:cxn>
            <a:cxn ang="0">
              <a:pos x="72" y="0"/>
            </a:cxn>
            <a:cxn ang="0">
              <a:pos x="75" y="3"/>
            </a:cxn>
            <a:cxn ang="0">
              <a:pos x="75" y="18"/>
            </a:cxn>
          </a:cxnLst>
          <a:rect l="0" t="0" r="r" b="b"/>
          <a:pathLst>
            <a:path w="75" h="23">
              <a:moveTo>
                <a:pt x="0" y="23"/>
              </a:moveTo>
              <a:lnTo>
                <a:pt x="30" y="0"/>
              </a:lnTo>
              <a:cubicBezTo>
                <a:pt x="30" y="0"/>
                <a:pt x="51" y="0"/>
                <a:pt x="72" y="0"/>
              </a:cubicBezTo>
              <a:cubicBezTo>
                <a:pt x="75" y="0"/>
                <a:pt x="75" y="3"/>
                <a:pt x="75" y="3"/>
              </a:cubicBezTo>
              <a:lnTo>
                <a:pt x="75" y="18"/>
              </a:lnTo>
            </a:path>
          </a:pathLst>
        </a:cu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sp>
    <xdr:clientData/>
  </xdr:twoCellAnchor>
  <xdr:oneCellAnchor>
    <xdr:from>
      <xdr:col>1</xdr:col>
      <xdr:colOff>819150</xdr:colOff>
      <xdr:row>8</xdr:row>
      <xdr:rowOff>400050</xdr:rowOff>
    </xdr:from>
    <xdr:ext cx="266291" cy="238125"/>
    <xdr:sp macro="" textlink="">
      <xdr:nvSpPr>
        <xdr:cNvPr id="27" name="TextBox 26"/>
        <xdr:cNvSpPr txBox="1"/>
      </xdr:nvSpPr>
      <xdr:spPr>
        <a:xfrm>
          <a:off x="1504950" y="3629025"/>
          <a:ext cx="266291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A</a:t>
          </a:r>
        </a:p>
      </xdr:txBody>
    </xdr:sp>
    <xdr:clientData/>
  </xdr:oneCellAnchor>
  <xdr:oneCellAnchor>
    <xdr:from>
      <xdr:col>1</xdr:col>
      <xdr:colOff>1228726</xdr:colOff>
      <xdr:row>9</xdr:row>
      <xdr:rowOff>114300</xdr:rowOff>
    </xdr:from>
    <xdr:ext cx="114300" cy="200025"/>
    <xdr:sp macro="" textlink="">
      <xdr:nvSpPr>
        <xdr:cNvPr id="28" name="TextBox 27"/>
        <xdr:cNvSpPr txBox="1"/>
      </xdr:nvSpPr>
      <xdr:spPr>
        <a:xfrm>
          <a:off x="1914526" y="3810000"/>
          <a:ext cx="114300" cy="20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B</a:t>
          </a:r>
        </a:p>
      </xdr:txBody>
    </xdr:sp>
    <xdr:clientData/>
  </xdr:oneCellAnchor>
  <xdr:oneCellAnchor>
    <xdr:from>
      <xdr:col>1</xdr:col>
      <xdr:colOff>333375</xdr:colOff>
      <xdr:row>9</xdr:row>
      <xdr:rowOff>38100</xdr:rowOff>
    </xdr:from>
    <xdr:ext cx="259879" cy="264560"/>
    <xdr:sp macro="" textlink="">
      <xdr:nvSpPr>
        <xdr:cNvPr id="29" name="TextBox 28"/>
        <xdr:cNvSpPr txBox="1"/>
      </xdr:nvSpPr>
      <xdr:spPr>
        <a:xfrm>
          <a:off x="1019175" y="3733800"/>
          <a:ext cx="25987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/>
            <a:t>C</a:t>
          </a:r>
        </a:p>
      </xdr:txBody>
    </xdr:sp>
    <xdr:clientData/>
  </xdr:oneCellAnchor>
  <xdr:twoCellAnchor>
    <xdr:from>
      <xdr:col>1</xdr:col>
      <xdr:colOff>228600</xdr:colOff>
      <xdr:row>10</xdr:row>
      <xdr:rowOff>190500</xdr:rowOff>
    </xdr:from>
    <xdr:to>
      <xdr:col>1</xdr:col>
      <xdr:colOff>1295400</xdr:colOff>
      <xdr:row>10</xdr:row>
      <xdr:rowOff>447675</xdr:rowOff>
    </xdr:to>
    <xdr:sp macro="" textlink="">
      <xdr:nvSpPr>
        <xdr:cNvPr id="30" name="Freeform 14"/>
        <xdr:cNvSpPr>
          <a:spLocks/>
        </xdr:cNvSpPr>
      </xdr:nvSpPr>
      <xdr:spPr bwMode="auto">
        <a:xfrm>
          <a:off x="914400" y="4314825"/>
          <a:ext cx="1066800" cy="257175"/>
        </a:xfrm>
        <a:custGeom>
          <a:avLst/>
          <a:gdLst/>
          <a:ahLst/>
          <a:cxnLst>
            <a:cxn ang="0">
              <a:pos x="0" y="28"/>
            </a:cxn>
            <a:cxn ang="0">
              <a:pos x="114" y="28"/>
            </a:cxn>
          </a:cxnLst>
          <a:rect l="0" t="0" r="r" b="b"/>
          <a:pathLst>
            <a:path w="114" h="28">
              <a:moveTo>
                <a:pt x="0" y="28"/>
              </a:moveTo>
              <a:cubicBezTo>
                <a:pt x="56" y="0"/>
                <a:pt x="114" y="28"/>
                <a:pt x="114" y="28"/>
              </a:cubicBezTo>
            </a:path>
          </a:pathLst>
        </a:cu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sp>
    <xdr:clientData/>
  </xdr:twoCellAnchor>
  <xdr:oneCellAnchor>
    <xdr:from>
      <xdr:col>1</xdr:col>
      <xdr:colOff>695326</xdr:colOff>
      <xdr:row>10</xdr:row>
      <xdr:rowOff>85724</xdr:rowOff>
    </xdr:from>
    <xdr:ext cx="228600" cy="238126"/>
    <xdr:sp macro="" textlink="">
      <xdr:nvSpPr>
        <xdr:cNvPr id="31" name="TextBox 30"/>
        <xdr:cNvSpPr txBox="1"/>
      </xdr:nvSpPr>
      <xdr:spPr>
        <a:xfrm>
          <a:off x="1381126" y="4210049"/>
          <a:ext cx="228600" cy="2381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A</a:t>
          </a:r>
        </a:p>
      </xdr:txBody>
    </xdr:sp>
    <xdr:clientData/>
  </xdr:oneCellAnchor>
  <xdr:twoCellAnchor>
    <xdr:from>
      <xdr:col>1</xdr:col>
      <xdr:colOff>276225</xdr:colOff>
      <xdr:row>11</xdr:row>
      <xdr:rowOff>76200</xdr:rowOff>
    </xdr:from>
    <xdr:to>
      <xdr:col>1</xdr:col>
      <xdr:colOff>1304925</xdr:colOff>
      <xdr:row>11</xdr:row>
      <xdr:rowOff>504825</xdr:rowOff>
    </xdr:to>
    <xdr:sp macro="" textlink="">
      <xdr:nvSpPr>
        <xdr:cNvPr id="32" name="Freeform 40"/>
        <xdr:cNvSpPr>
          <a:spLocks/>
        </xdr:cNvSpPr>
      </xdr:nvSpPr>
      <xdr:spPr bwMode="auto">
        <a:xfrm>
          <a:off x="962025" y="4772025"/>
          <a:ext cx="1028700" cy="428625"/>
        </a:xfrm>
        <a:custGeom>
          <a:avLst/>
          <a:gdLst/>
          <a:ahLst/>
          <a:cxnLst>
            <a:cxn ang="0">
              <a:pos x="0" y="46"/>
            </a:cxn>
            <a:cxn ang="0">
              <a:pos x="40" y="22"/>
            </a:cxn>
            <a:cxn ang="0">
              <a:pos x="99" y="22"/>
            </a:cxn>
            <a:cxn ang="0">
              <a:pos x="102" y="18"/>
            </a:cxn>
            <a:cxn ang="0">
              <a:pos x="102" y="0"/>
            </a:cxn>
          </a:cxnLst>
          <a:rect l="0" t="0" r="r" b="b"/>
          <a:pathLst>
            <a:path w="102" h="46">
              <a:moveTo>
                <a:pt x="0" y="46"/>
              </a:moveTo>
              <a:lnTo>
                <a:pt x="40" y="22"/>
              </a:lnTo>
              <a:lnTo>
                <a:pt x="99" y="22"/>
              </a:lnTo>
              <a:cubicBezTo>
                <a:pt x="99" y="22"/>
                <a:pt x="102" y="22"/>
                <a:pt x="102" y="18"/>
              </a:cubicBezTo>
              <a:cubicBezTo>
                <a:pt x="102" y="9"/>
                <a:pt x="102" y="0"/>
                <a:pt x="102" y="0"/>
              </a:cubicBezTo>
            </a:path>
          </a:pathLst>
        </a:cu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sp>
    <xdr:clientData/>
  </xdr:twoCellAnchor>
  <xdr:oneCellAnchor>
    <xdr:from>
      <xdr:col>1</xdr:col>
      <xdr:colOff>819150</xdr:colOff>
      <xdr:row>11</xdr:row>
      <xdr:rowOff>0</xdr:rowOff>
    </xdr:from>
    <xdr:ext cx="266291" cy="285750"/>
    <xdr:sp macro="" textlink="">
      <xdr:nvSpPr>
        <xdr:cNvPr id="33" name="TextBox 32"/>
        <xdr:cNvSpPr txBox="1"/>
      </xdr:nvSpPr>
      <xdr:spPr>
        <a:xfrm>
          <a:off x="1504950" y="4695825"/>
          <a:ext cx="266291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b">
          <a:noAutofit/>
        </a:bodyPr>
        <a:lstStyle/>
        <a:p>
          <a:r>
            <a:rPr lang="en-US" sz="1100"/>
            <a:t>A</a:t>
          </a:r>
        </a:p>
      </xdr:txBody>
    </xdr:sp>
    <xdr:clientData/>
  </xdr:oneCellAnchor>
  <xdr:oneCellAnchor>
    <xdr:from>
      <xdr:col>1</xdr:col>
      <xdr:colOff>1285875</xdr:colOff>
      <xdr:row>11</xdr:row>
      <xdr:rowOff>38100</xdr:rowOff>
    </xdr:from>
    <xdr:ext cx="228600" cy="264560"/>
    <xdr:sp macro="" textlink="">
      <xdr:nvSpPr>
        <xdr:cNvPr id="34" name="TextBox 33"/>
        <xdr:cNvSpPr txBox="1"/>
      </xdr:nvSpPr>
      <xdr:spPr>
        <a:xfrm>
          <a:off x="1971675" y="4733925"/>
          <a:ext cx="2286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B</a:t>
          </a:r>
        </a:p>
      </xdr:txBody>
    </xdr:sp>
    <xdr:clientData/>
  </xdr:oneCellAnchor>
  <xdr:oneCellAnchor>
    <xdr:from>
      <xdr:col>1</xdr:col>
      <xdr:colOff>285750</xdr:colOff>
      <xdr:row>11</xdr:row>
      <xdr:rowOff>161924</xdr:rowOff>
    </xdr:from>
    <xdr:ext cx="259879" cy="257175"/>
    <xdr:sp macro="" textlink="">
      <xdr:nvSpPr>
        <xdr:cNvPr id="35" name="TextBox 34"/>
        <xdr:cNvSpPr txBox="1"/>
      </xdr:nvSpPr>
      <xdr:spPr>
        <a:xfrm>
          <a:off x="971550" y="4857749"/>
          <a:ext cx="259879" cy="2571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C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ropbox\Ankit%20Singh\General%20study\ring%20fi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>
        <row r="4">
          <cell r="B4" t="str">
            <v>Square</v>
          </cell>
        </row>
        <row r="5">
          <cell r="B5" t="str">
            <v>Rectangle</v>
          </cell>
        </row>
        <row r="6">
          <cell r="B6" t="str">
            <v>Star</v>
          </cell>
        </row>
        <row r="7">
          <cell r="B7" t="str">
            <v>Straight</v>
          </cell>
        </row>
        <row r="8">
          <cell r="B8" t="str">
            <v>Circular</v>
          </cell>
        </row>
        <row r="9">
          <cell r="B9">
            <v>0</v>
          </cell>
        </row>
        <row r="10">
          <cell r="B10">
            <v>0</v>
          </cell>
        </row>
        <row r="11">
          <cell r="B11">
            <v>0</v>
          </cell>
        </row>
        <row r="12">
          <cell r="B12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Y11"/>
  <sheetViews>
    <sheetView zoomScaleNormal="100" workbookViewId="0"/>
  </sheetViews>
  <sheetFormatPr defaultRowHeight="15" x14ac:dyDescent="0.25"/>
  <cols>
    <col min="3" max="3" width="11.28515625" customWidth="1"/>
    <col min="10" max="10" width="17.42578125" customWidth="1"/>
  </cols>
  <sheetData>
    <row r="2" spans="1:2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25" ht="30" x14ac:dyDescent="0.25">
      <c r="A3" s="2" t="s">
        <v>2</v>
      </c>
      <c r="B3" s="2" t="s">
        <v>3</v>
      </c>
      <c r="C3" s="3" t="s">
        <v>4</v>
      </c>
      <c r="D3" s="4" t="s">
        <v>5</v>
      </c>
      <c r="E3" s="3" t="s">
        <v>6</v>
      </c>
      <c r="F3" s="3" t="s">
        <v>7</v>
      </c>
      <c r="G3" s="3" t="s">
        <v>8</v>
      </c>
      <c r="H3" s="3" t="s">
        <v>9</v>
      </c>
      <c r="I3" s="3" t="s">
        <v>0</v>
      </c>
      <c r="J3" s="3" t="s">
        <v>1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3" t="s">
        <v>15</v>
      </c>
      <c r="Q3" s="3" t="s">
        <v>16</v>
      </c>
      <c r="X3" t="s">
        <v>17</v>
      </c>
      <c r="Y3" t="s">
        <v>18</v>
      </c>
    </row>
    <row r="4" spans="1:25" ht="24" customHeight="1" x14ac:dyDescent="0.25">
      <c r="D4">
        <v>8</v>
      </c>
      <c r="E4">
        <v>1</v>
      </c>
      <c r="F4">
        <v>1</v>
      </c>
      <c r="G4">
        <f>E4*F4</f>
        <v>1</v>
      </c>
      <c r="H4">
        <f>K4+L4+M4+N4+O4+P4</f>
        <v>1</v>
      </c>
      <c r="I4">
        <v>100</v>
      </c>
      <c r="K4">
        <v>1</v>
      </c>
      <c r="Q4">
        <f>IF(D4='wt per m'!C9,'Main Sheet'!G4*'Main Sheet'!H4*'wt per m'!D9)</f>
        <v>0.39500000000000002</v>
      </c>
      <c r="X4">
        <v>8</v>
      </c>
      <c r="Y4">
        <v>0.39500000000000002</v>
      </c>
    </row>
    <row r="5" spans="1:25" x14ac:dyDescent="0.25">
      <c r="D5">
        <v>8</v>
      </c>
      <c r="E5">
        <v>1</v>
      </c>
      <c r="F5">
        <v>1</v>
      </c>
      <c r="G5">
        <f>E5*F5</f>
        <v>1</v>
      </c>
      <c r="H5">
        <v>1</v>
      </c>
      <c r="I5">
        <v>60</v>
      </c>
      <c r="Q5">
        <f>IF(D5=X4,G5*H5*Y4,)</f>
        <v>0.39500000000000002</v>
      </c>
      <c r="X5">
        <v>10</v>
      </c>
      <c r="Y5">
        <v>0.61699999999999999</v>
      </c>
    </row>
    <row r="6" spans="1:25" x14ac:dyDescent="0.25">
      <c r="I6">
        <v>102</v>
      </c>
      <c r="X6">
        <v>12</v>
      </c>
      <c r="Y6">
        <v>0.88800000000000001</v>
      </c>
    </row>
    <row r="7" spans="1:25" ht="40.5" customHeight="1" x14ac:dyDescent="0.25">
      <c r="I7">
        <v>103</v>
      </c>
      <c r="X7">
        <v>16</v>
      </c>
      <c r="Y7">
        <v>1.579</v>
      </c>
    </row>
    <row r="8" spans="1:25" x14ac:dyDescent="0.25">
      <c r="I8">
        <v>104</v>
      </c>
      <c r="X8">
        <v>20</v>
      </c>
      <c r="Y8">
        <v>2.4670000000000001</v>
      </c>
    </row>
    <row r="9" spans="1:25" x14ac:dyDescent="0.25">
      <c r="I9">
        <v>100</v>
      </c>
      <c r="X9">
        <v>25</v>
      </c>
      <c r="Y9">
        <v>3.855</v>
      </c>
    </row>
    <row r="10" spans="1:25" x14ac:dyDescent="0.25">
      <c r="X10">
        <v>28</v>
      </c>
      <c r="Y10">
        <v>4.8360000000000003</v>
      </c>
    </row>
    <row r="11" spans="1:25" x14ac:dyDescent="0.25">
      <c r="X11">
        <v>32</v>
      </c>
      <c r="Y11">
        <v>6.3159999999999998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13"/>
  <sheetViews>
    <sheetView tabSelected="1" workbookViewId="0">
      <selection activeCell="A4" sqref="A4"/>
    </sheetView>
  </sheetViews>
  <sheetFormatPr defaultRowHeight="15" x14ac:dyDescent="0.25"/>
  <cols>
    <col min="2" max="2" width="22.5703125" customWidth="1"/>
  </cols>
  <sheetData>
    <row r="2" spans="1:2" x14ac:dyDescent="0.25">
      <c r="A2" t="s">
        <v>0</v>
      </c>
      <c r="B2" t="s">
        <v>1</v>
      </c>
    </row>
    <row r="3" spans="1:2" ht="29.25" customHeight="1" x14ac:dyDescent="0.25">
      <c r="A3" s="1">
        <v>100</v>
      </c>
    </row>
    <row r="4" spans="1:2" ht="26.25" customHeight="1" x14ac:dyDescent="0.25">
      <c r="A4">
        <v>101</v>
      </c>
    </row>
    <row r="5" spans="1:2" ht="30" customHeight="1" x14ac:dyDescent="0.25">
      <c r="A5">
        <v>102</v>
      </c>
    </row>
    <row r="6" spans="1:2" ht="40.5" customHeight="1" x14ac:dyDescent="0.25">
      <c r="A6">
        <v>103</v>
      </c>
    </row>
    <row r="7" spans="1:2" ht="45" customHeight="1" x14ac:dyDescent="0.25">
      <c r="A7">
        <v>104</v>
      </c>
    </row>
    <row r="8" spans="1:2" ht="53.25" customHeight="1" x14ac:dyDescent="0.25">
      <c r="A8">
        <v>105</v>
      </c>
    </row>
    <row r="9" spans="1:2" ht="36.75" customHeight="1" x14ac:dyDescent="0.25">
      <c r="A9">
        <v>106</v>
      </c>
    </row>
    <row r="10" spans="1:2" ht="33.75" customHeight="1" x14ac:dyDescent="0.25">
      <c r="A10">
        <v>107</v>
      </c>
    </row>
    <row r="11" spans="1:2" ht="45" customHeight="1" x14ac:dyDescent="0.25">
      <c r="A11">
        <v>108</v>
      </c>
    </row>
    <row r="12" spans="1:2" ht="45.75" customHeight="1" x14ac:dyDescent="0.25">
      <c r="A12">
        <v>109</v>
      </c>
    </row>
    <row r="13" spans="1:2" ht="30" customHeight="1" x14ac:dyDescent="0.25">
      <c r="A13">
        <v>110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8:I16"/>
  <sheetViews>
    <sheetView workbookViewId="0">
      <selection activeCell="C8" sqref="C8:D16"/>
    </sheetView>
  </sheetViews>
  <sheetFormatPr defaultRowHeight="15" x14ac:dyDescent="0.25"/>
  <sheetData>
    <row r="8" spans="3:9" x14ac:dyDescent="0.25">
      <c r="C8" t="s">
        <v>17</v>
      </c>
      <c r="D8" t="s">
        <v>18</v>
      </c>
    </row>
    <row r="9" spans="3:9" ht="18.75" x14ac:dyDescent="0.3">
      <c r="C9">
        <v>8</v>
      </c>
      <c r="D9">
        <v>0.39500000000000002</v>
      </c>
      <c r="E9" s="5"/>
      <c r="F9" s="5"/>
      <c r="G9" s="5"/>
      <c r="H9" s="5"/>
      <c r="I9" s="5"/>
    </row>
    <row r="10" spans="3:9" ht="18.75" x14ac:dyDescent="0.3">
      <c r="C10">
        <v>10</v>
      </c>
      <c r="D10">
        <v>0.61699999999999999</v>
      </c>
      <c r="E10" s="5"/>
      <c r="F10" s="5"/>
      <c r="G10" s="5"/>
      <c r="H10" s="5"/>
      <c r="I10" s="5"/>
    </row>
    <row r="11" spans="3:9" ht="18.75" x14ac:dyDescent="0.3">
      <c r="C11">
        <v>12</v>
      </c>
      <c r="D11">
        <v>0.88800000000000001</v>
      </c>
      <c r="E11" s="5"/>
      <c r="F11" s="5"/>
      <c r="G11" s="5"/>
      <c r="H11" s="5"/>
      <c r="I11" s="5"/>
    </row>
    <row r="12" spans="3:9" ht="18.75" x14ac:dyDescent="0.3">
      <c r="C12">
        <v>16</v>
      </c>
      <c r="D12">
        <v>1.579</v>
      </c>
      <c r="E12" s="5"/>
      <c r="F12" s="5"/>
      <c r="G12" s="5"/>
      <c r="H12" s="5"/>
      <c r="I12" s="5"/>
    </row>
    <row r="13" spans="3:9" ht="18.75" x14ac:dyDescent="0.3">
      <c r="C13">
        <v>20</v>
      </c>
      <c r="D13">
        <v>2.4670000000000001</v>
      </c>
      <c r="E13" s="5"/>
      <c r="F13" s="5"/>
      <c r="G13" s="5"/>
      <c r="H13" s="5"/>
      <c r="I13" s="5"/>
    </row>
    <row r="14" spans="3:9" ht="18.75" x14ac:dyDescent="0.3">
      <c r="C14">
        <v>25</v>
      </c>
      <c r="D14">
        <v>3.855</v>
      </c>
      <c r="E14" s="5"/>
      <c r="F14" s="5"/>
      <c r="G14" s="5"/>
      <c r="H14" s="5"/>
      <c r="I14" s="5"/>
    </row>
    <row r="15" spans="3:9" ht="18.75" x14ac:dyDescent="0.3">
      <c r="C15">
        <v>28</v>
      </c>
      <c r="D15">
        <v>4.8360000000000003</v>
      </c>
      <c r="E15" s="5"/>
      <c r="F15" s="5"/>
      <c r="G15" s="5"/>
      <c r="H15" s="5"/>
      <c r="I15" s="5"/>
    </row>
    <row r="16" spans="3:9" ht="18.75" x14ac:dyDescent="0.3">
      <c r="C16">
        <v>32</v>
      </c>
      <c r="D16">
        <v>6.3159999999999998</v>
      </c>
      <c r="E16" s="5"/>
      <c r="F16" s="5"/>
      <c r="G16" s="5"/>
      <c r="H16" s="5"/>
      <c r="I16" s="5"/>
    </row>
  </sheetData>
  <conditionalFormatting sqref="E9:I16">
    <cfRule type="cellIs" dxfId="0" priority="1" stopIfTrue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O134"/>
  <sheetViews>
    <sheetView workbookViewId="0">
      <selection activeCell="I6" sqref="I6"/>
    </sheetView>
  </sheetViews>
  <sheetFormatPr defaultColWidth="9.140625" defaultRowHeight="15" x14ac:dyDescent="0.25"/>
  <cols>
    <col min="1" max="2" width="9.140625" style="9"/>
    <col min="3" max="3" width="10.140625" style="9" customWidth="1"/>
    <col min="4" max="4" width="9.140625" style="9"/>
    <col min="5" max="5" width="9.85546875" style="9" customWidth="1"/>
    <col min="6" max="6" width="9.140625" style="9"/>
    <col min="7" max="7" width="13.7109375" style="9" customWidth="1"/>
    <col min="8" max="8" width="10.5703125" style="9" bestFit="1" customWidth="1"/>
    <col min="9" max="9" width="9.140625" style="10"/>
    <col min="10" max="10" width="10.42578125" style="9" bestFit="1" customWidth="1"/>
    <col min="11" max="11" width="9.140625" style="9"/>
    <col min="12" max="12" width="9.140625" style="11"/>
    <col min="13" max="14" width="9.140625" style="9"/>
    <col min="15" max="15" width="10.28515625" style="9" bestFit="1" customWidth="1"/>
    <col min="16" max="16384" width="9.140625" style="9"/>
  </cols>
  <sheetData>
    <row r="3" spans="3:15" ht="49.5" customHeight="1" x14ac:dyDescent="0.25">
      <c r="C3" s="6" t="s">
        <v>9</v>
      </c>
      <c r="D3" s="6" t="s">
        <v>19</v>
      </c>
      <c r="E3" s="6" t="s">
        <v>20</v>
      </c>
      <c r="F3" s="6" t="s">
        <v>21</v>
      </c>
      <c r="G3" s="6" t="s">
        <v>22</v>
      </c>
      <c r="H3" s="6" t="s">
        <v>23</v>
      </c>
      <c r="I3" s="7" t="s">
        <v>24</v>
      </c>
      <c r="J3" s="6" t="s">
        <v>25</v>
      </c>
      <c r="K3" s="6" t="s">
        <v>26</v>
      </c>
      <c r="L3" s="8" t="s">
        <v>27</v>
      </c>
      <c r="M3" s="6" t="s">
        <v>28</v>
      </c>
      <c r="N3" s="6" t="s">
        <v>29</v>
      </c>
      <c r="O3" s="6" t="s">
        <v>30</v>
      </c>
    </row>
    <row r="4" spans="3:15" x14ac:dyDescent="0.25">
      <c r="C4" s="9">
        <v>0.4</v>
      </c>
      <c r="D4" s="9">
        <v>0.4</v>
      </c>
      <c r="E4" s="9">
        <f>61.2-59.75-0.06-0.06</f>
        <v>1.3300000000000027</v>
      </c>
      <c r="F4" s="9">
        <v>4.4999999999999998E-2</v>
      </c>
      <c r="G4" s="9">
        <f>C4-F4*2</f>
        <v>0.31000000000000005</v>
      </c>
      <c r="H4" s="9">
        <f>D4-F4*2</f>
        <v>0.31000000000000005</v>
      </c>
      <c r="I4" s="10" t="s">
        <v>31</v>
      </c>
      <c r="J4" s="9">
        <v>2</v>
      </c>
      <c r="K4" s="9">
        <f>J4*M4*10/1000</f>
        <v>0.2</v>
      </c>
      <c r="L4" s="11">
        <f>IF(OR(I4="Square",I4="Rectangle"),2*(G4+H4)+K4, IF(I4="Star", 4*SQRT((G4/2)^2+(H4/2)^2)+K4,IF(I4="straight",SUM(G4:H4)+K4,(2*3.14*C4)+K4)))</f>
        <v>1.0768124086713191</v>
      </c>
      <c r="M4" s="9">
        <v>10</v>
      </c>
      <c r="N4" s="9">
        <v>0.15</v>
      </c>
      <c r="O4" s="12">
        <f>E4/N4+1</f>
        <v>9.8666666666666849</v>
      </c>
    </row>
    <row r="5" spans="3:15" x14ac:dyDescent="0.25">
      <c r="C5" s="9">
        <v>0.55000000000000004</v>
      </c>
      <c r="D5" s="9">
        <v>0.55000000000000004</v>
      </c>
      <c r="E5" s="9">
        <f>61.2-59.75-0.06-0.06</f>
        <v>1.3300000000000027</v>
      </c>
      <c r="F5" s="9">
        <v>0.06</v>
      </c>
      <c r="G5" s="9">
        <f>C5-F5*2</f>
        <v>0.43000000000000005</v>
      </c>
      <c r="H5" s="9">
        <f>D5-F5</f>
        <v>0.49000000000000005</v>
      </c>
      <c r="I5" s="10" t="s">
        <v>32</v>
      </c>
      <c r="J5" s="9">
        <v>2</v>
      </c>
      <c r="K5" s="9">
        <f>J5*M5*10/1000</f>
        <v>0.16</v>
      </c>
      <c r="L5" s="11">
        <f t="shared" ref="L5:L33" si="0">IF(OR(I5="Square",I5="Rectangle"),2*(G5+H5)+K5, IF(I5="Star", 4*SQRT((G5/2)^2+(H5/2)^2)+K5,IF(I5="straight",SUM(G5:H5)+K5,(2*3.14*C5)+K5)))</f>
        <v>2.0000000000000004</v>
      </c>
      <c r="M5" s="9">
        <v>8</v>
      </c>
      <c r="N5" s="9">
        <v>0.15</v>
      </c>
      <c r="O5" s="12">
        <f>E5/N5+1</f>
        <v>9.8666666666666849</v>
      </c>
    </row>
    <row r="6" spans="3:15" x14ac:dyDescent="0.25">
      <c r="J6" s="9">
        <v>2</v>
      </c>
      <c r="K6" s="9">
        <f t="shared" ref="K6:K14" si="1">J6*M6*10/1000</f>
        <v>0.16</v>
      </c>
      <c r="L6" s="11">
        <f t="shared" si="0"/>
        <v>0.16</v>
      </c>
      <c r="M6" s="9">
        <v>8</v>
      </c>
      <c r="O6" s="12"/>
    </row>
    <row r="7" spans="3:15" x14ac:dyDescent="0.25">
      <c r="J7" s="9">
        <v>2</v>
      </c>
      <c r="K7" s="9">
        <f t="shared" si="1"/>
        <v>0.16</v>
      </c>
      <c r="L7" s="11">
        <f t="shared" si="0"/>
        <v>0.16</v>
      </c>
      <c r="M7" s="9">
        <v>8</v>
      </c>
      <c r="O7" s="12"/>
    </row>
    <row r="8" spans="3:15" x14ac:dyDescent="0.25">
      <c r="J8" s="9">
        <v>2</v>
      </c>
      <c r="K8" s="9">
        <f t="shared" si="1"/>
        <v>0.16</v>
      </c>
      <c r="L8" s="11">
        <f t="shared" si="0"/>
        <v>0.16</v>
      </c>
      <c r="M8" s="9">
        <v>8</v>
      </c>
      <c r="O8" s="12"/>
    </row>
    <row r="9" spans="3:15" x14ac:dyDescent="0.25">
      <c r="J9" s="9">
        <v>2</v>
      </c>
      <c r="K9" s="9">
        <f t="shared" si="1"/>
        <v>0.16</v>
      </c>
      <c r="L9" s="11">
        <f t="shared" si="0"/>
        <v>0.16</v>
      </c>
      <c r="M9" s="9">
        <v>8</v>
      </c>
      <c r="O9" s="12"/>
    </row>
    <row r="10" spans="3:15" x14ac:dyDescent="0.25">
      <c r="J10" s="9">
        <v>2</v>
      </c>
      <c r="K10" s="9">
        <f t="shared" si="1"/>
        <v>0.16</v>
      </c>
      <c r="L10" s="11">
        <f t="shared" si="0"/>
        <v>0.16</v>
      </c>
      <c r="M10" s="9">
        <v>8</v>
      </c>
      <c r="O10" s="12"/>
    </row>
    <row r="11" spans="3:15" x14ac:dyDescent="0.25">
      <c r="J11" s="9">
        <v>2</v>
      </c>
      <c r="K11" s="9">
        <f t="shared" si="1"/>
        <v>0.16</v>
      </c>
      <c r="L11" s="11">
        <f t="shared" si="0"/>
        <v>0.16</v>
      </c>
      <c r="M11" s="9">
        <v>8</v>
      </c>
      <c r="O11" s="12"/>
    </row>
    <row r="12" spans="3:15" x14ac:dyDescent="0.25">
      <c r="J12" s="9">
        <v>2</v>
      </c>
      <c r="K12" s="9">
        <f t="shared" si="1"/>
        <v>0.16</v>
      </c>
      <c r="L12" s="11">
        <f t="shared" si="0"/>
        <v>0.16</v>
      </c>
      <c r="M12" s="9">
        <v>8</v>
      </c>
      <c r="O12" s="12"/>
    </row>
    <row r="13" spans="3:15" x14ac:dyDescent="0.25">
      <c r="J13" s="9">
        <v>2</v>
      </c>
      <c r="K13" s="9">
        <f t="shared" si="1"/>
        <v>0.16</v>
      </c>
      <c r="L13" s="11">
        <f t="shared" si="0"/>
        <v>0.16</v>
      </c>
      <c r="M13" s="9">
        <v>8</v>
      </c>
      <c r="O13" s="12"/>
    </row>
    <row r="14" spans="3:15" x14ac:dyDescent="0.25">
      <c r="J14" s="9">
        <v>2</v>
      </c>
      <c r="K14" s="9">
        <f t="shared" si="1"/>
        <v>0.16</v>
      </c>
      <c r="L14" s="11">
        <f t="shared" si="0"/>
        <v>0.16</v>
      </c>
      <c r="M14" s="9">
        <v>8</v>
      </c>
      <c r="O14" s="12"/>
    </row>
    <row r="15" spans="3:15" x14ac:dyDescent="0.25">
      <c r="L15" s="11">
        <f t="shared" si="0"/>
        <v>0</v>
      </c>
      <c r="M15" s="9">
        <v>8</v>
      </c>
      <c r="O15" s="12"/>
    </row>
    <row r="16" spans="3:15" x14ac:dyDescent="0.25">
      <c r="L16" s="11">
        <f t="shared" si="0"/>
        <v>0</v>
      </c>
      <c r="O16" s="12"/>
    </row>
    <row r="17" spans="12:15" x14ac:dyDescent="0.25">
      <c r="L17" s="11">
        <f t="shared" si="0"/>
        <v>0</v>
      </c>
      <c r="O17" s="12"/>
    </row>
    <row r="18" spans="12:15" x14ac:dyDescent="0.25">
      <c r="L18" s="11">
        <f t="shared" si="0"/>
        <v>0</v>
      </c>
      <c r="O18" s="12"/>
    </row>
    <row r="19" spans="12:15" x14ac:dyDescent="0.25">
      <c r="L19" s="11">
        <f t="shared" si="0"/>
        <v>0</v>
      </c>
      <c r="O19" s="12"/>
    </row>
    <row r="20" spans="12:15" x14ac:dyDescent="0.25">
      <c r="L20" s="11">
        <f t="shared" si="0"/>
        <v>0</v>
      </c>
      <c r="O20" s="12"/>
    </row>
    <row r="21" spans="12:15" x14ac:dyDescent="0.25">
      <c r="L21" s="11">
        <f t="shared" si="0"/>
        <v>0</v>
      </c>
      <c r="O21" s="12"/>
    </row>
    <row r="22" spans="12:15" x14ac:dyDescent="0.25">
      <c r="L22" s="11">
        <f t="shared" si="0"/>
        <v>0</v>
      </c>
      <c r="O22" s="12"/>
    </row>
    <row r="23" spans="12:15" x14ac:dyDescent="0.25">
      <c r="L23" s="11">
        <f t="shared" si="0"/>
        <v>0</v>
      </c>
      <c r="O23" s="12"/>
    </row>
    <row r="24" spans="12:15" x14ac:dyDescent="0.25">
      <c r="L24" s="11">
        <f t="shared" si="0"/>
        <v>0</v>
      </c>
      <c r="O24" s="12"/>
    </row>
    <row r="25" spans="12:15" x14ac:dyDescent="0.25">
      <c r="L25" s="11">
        <f t="shared" si="0"/>
        <v>0</v>
      </c>
      <c r="O25" s="12"/>
    </row>
    <row r="26" spans="12:15" x14ac:dyDescent="0.25">
      <c r="L26" s="11">
        <f t="shared" si="0"/>
        <v>0</v>
      </c>
      <c r="O26" s="12"/>
    </row>
    <row r="27" spans="12:15" x14ac:dyDescent="0.25">
      <c r="L27" s="11">
        <f t="shared" si="0"/>
        <v>0</v>
      </c>
      <c r="O27" s="12"/>
    </row>
    <row r="28" spans="12:15" x14ac:dyDescent="0.25">
      <c r="L28" s="11">
        <f t="shared" si="0"/>
        <v>0</v>
      </c>
      <c r="O28" s="12"/>
    </row>
    <row r="29" spans="12:15" x14ac:dyDescent="0.25">
      <c r="L29" s="11">
        <f t="shared" si="0"/>
        <v>0</v>
      </c>
      <c r="O29" s="12"/>
    </row>
    <row r="30" spans="12:15" x14ac:dyDescent="0.25">
      <c r="L30" s="11">
        <f t="shared" si="0"/>
        <v>0</v>
      </c>
      <c r="O30" s="12"/>
    </row>
    <row r="31" spans="12:15" x14ac:dyDescent="0.25">
      <c r="L31" s="11">
        <f t="shared" si="0"/>
        <v>0</v>
      </c>
      <c r="O31" s="12"/>
    </row>
    <row r="32" spans="12:15" x14ac:dyDescent="0.25">
      <c r="L32" s="11">
        <f t="shared" si="0"/>
        <v>0</v>
      </c>
      <c r="O32" s="12"/>
    </row>
    <row r="33" spans="12:15" x14ac:dyDescent="0.25">
      <c r="L33" s="11">
        <f t="shared" si="0"/>
        <v>0</v>
      </c>
      <c r="O33" s="12"/>
    </row>
    <row r="34" spans="12:15" x14ac:dyDescent="0.25">
      <c r="O34" s="12"/>
    </row>
    <row r="35" spans="12:15" x14ac:dyDescent="0.25">
      <c r="O35" s="12"/>
    </row>
    <row r="36" spans="12:15" x14ac:dyDescent="0.25">
      <c r="O36" s="12"/>
    </row>
    <row r="37" spans="12:15" x14ac:dyDescent="0.25">
      <c r="O37" s="12"/>
    </row>
    <row r="38" spans="12:15" x14ac:dyDescent="0.25">
      <c r="O38" s="12"/>
    </row>
    <row r="39" spans="12:15" x14ac:dyDescent="0.25">
      <c r="O39" s="12"/>
    </row>
    <row r="40" spans="12:15" x14ac:dyDescent="0.25">
      <c r="O40" s="12"/>
    </row>
    <row r="41" spans="12:15" x14ac:dyDescent="0.25">
      <c r="O41" s="12"/>
    </row>
    <row r="42" spans="12:15" x14ac:dyDescent="0.25">
      <c r="O42" s="12"/>
    </row>
    <row r="43" spans="12:15" x14ac:dyDescent="0.25">
      <c r="O43" s="12"/>
    </row>
    <row r="44" spans="12:15" x14ac:dyDescent="0.25">
      <c r="O44" s="12"/>
    </row>
    <row r="45" spans="12:15" x14ac:dyDescent="0.25">
      <c r="O45" s="12"/>
    </row>
    <row r="46" spans="12:15" x14ac:dyDescent="0.25">
      <c r="O46" s="12"/>
    </row>
    <row r="47" spans="12:15" x14ac:dyDescent="0.25">
      <c r="O47" s="12"/>
    </row>
    <row r="48" spans="12:15" x14ac:dyDescent="0.25">
      <c r="O48" s="12"/>
    </row>
    <row r="49" spans="15:15" x14ac:dyDescent="0.25">
      <c r="O49" s="12"/>
    </row>
    <row r="50" spans="15:15" x14ac:dyDescent="0.25">
      <c r="O50" s="12"/>
    </row>
    <row r="51" spans="15:15" x14ac:dyDescent="0.25">
      <c r="O51" s="12"/>
    </row>
    <row r="52" spans="15:15" x14ac:dyDescent="0.25">
      <c r="O52" s="12"/>
    </row>
    <row r="53" spans="15:15" x14ac:dyDescent="0.25">
      <c r="O53" s="12"/>
    </row>
    <row r="54" spans="15:15" x14ac:dyDescent="0.25">
      <c r="O54" s="12"/>
    </row>
    <row r="55" spans="15:15" x14ac:dyDescent="0.25">
      <c r="O55" s="12"/>
    </row>
    <row r="56" spans="15:15" x14ac:dyDescent="0.25">
      <c r="O56" s="12"/>
    </row>
    <row r="57" spans="15:15" x14ac:dyDescent="0.25">
      <c r="O57" s="12"/>
    </row>
    <row r="58" spans="15:15" x14ac:dyDescent="0.25">
      <c r="O58" s="12"/>
    </row>
    <row r="59" spans="15:15" x14ac:dyDescent="0.25">
      <c r="O59" s="12"/>
    </row>
    <row r="60" spans="15:15" x14ac:dyDescent="0.25">
      <c r="O60" s="12"/>
    </row>
    <row r="61" spans="15:15" x14ac:dyDescent="0.25">
      <c r="O61" s="12"/>
    </row>
    <row r="62" spans="15:15" x14ac:dyDescent="0.25">
      <c r="O62" s="12"/>
    </row>
    <row r="63" spans="15:15" x14ac:dyDescent="0.25">
      <c r="O63" s="12"/>
    </row>
    <row r="64" spans="15:15" x14ac:dyDescent="0.25">
      <c r="O64" s="12"/>
    </row>
    <row r="65" spans="15:15" x14ac:dyDescent="0.25">
      <c r="O65" s="12"/>
    </row>
    <row r="66" spans="15:15" x14ac:dyDescent="0.25">
      <c r="O66" s="12"/>
    </row>
    <row r="67" spans="15:15" x14ac:dyDescent="0.25">
      <c r="O67" s="12"/>
    </row>
    <row r="68" spans="15:15" x14ac:dyDescent="0.25">
      <c r="O68" s="12"/>
    </row>
    <row r="69" spans="15:15" x14ac:dyDescent="0.25">
      <c r="O69" s="12"/>
    </row>
    <row r="70" spans="15:15" x14ac:dyDescent="0.25">
      <c r="O70" s="12"/>
    </row>
    <row r="71" spans="15:15" x14ac:dyDescent="0.25">
      <c r="O71" s="12"/>
    </row>
    <row r="72" spans="15:15" x14ac:dyDescent="0.25">
      <c r="O72" s="12"/>
    </row>
    <row r="73" spans="15:15" x14ac:dyDescent="0.25">
      <c r="O73" s="12"/>
    </row>
    <row r="74" spans="15:15" x14ac:dyDescent="0.25">
      <c r="O74" s="12"/>
    </row>
    <row r="75" spans="15:15" x14ac:dyDescent="0.25">
      <c r="O75" s="12"/>
    </row>
    <row r="76" spans="15:15" x14ac:dyDescent="0.25">
      <c r="O76" s="12"/>
    </row>
    <row r="77" spans="15:15" x14ac:dyDescent="0.25">
      <c r="O77" s="12"/>
    </row>
    <row r="78" spans="15:15" x14ac:dyDescent="0.25">
      <c r="O78" s="12"/>
    </row>
    <row r="79" spans="15:15" x14ac:dyDescent="0.25">
      <c r="O79" s="12"/>
    </row>
    <row r="80" spans="15:15" x14ac:dyDescent="0.25">
      <c r="O80" s="12"/>
    </row>
    <row r="81" spans="15:15" x14ac:dyDescent="0.25">
      <c r="O81" s="12"/>
    </row>
    <row r="82" spans="15:15" x14ac:dyDescent="0.25">
      <c r="O82" s="12"/>
    </row>
    <row r="83" spans="15:15" x14ac:dyDescent="0.25">
      <c r="O83" s="12"/>
    </row>
    <row r="84" spans="15:15" x14ac:dyDescent="0.25">
      <c r="O84" s="12"/>
    </row>
    <row r="85" spans="15:15" x14ac:dyDescent="0.25">
      <c r="O85" s="12"/>
    </row>
    <row r="86" spans="15:15" x14ac:dyDescent="0.25">
      <c r="O86" s="12"/>
    </row>
    <row r="87" spans="15:15" x14ac:dyDescent="0.25">
      <c r="O87" s="12"/>
    </row>
    <row r="88" spans="15:15" x14ac:dyDescent="0.25">
      <c r="O88" s="12"/>
    </row>
    <row r="89" spans="15:15" x14ac:dyDescent="0.25">
      <c r="O89" s="12"/>
    </row>
    <row r="90" spans="15:15" x14ac:dyDescent="0.25">
      <c r="O90" s="12"/>
    </row>
    <row r="91" spans="15:15" x14ac:dyDescent="0.25">
      <c r="O91" s="12"/>
    </row>
    <row r="92" spans="15:15" x14ac:dyDescent="0.25">
      <c r="O92" s="12"/>
    </row>
    <row r="93" spans="15:15" x14ac:dyDescent="0.25">
      <c r="O93" s="12"/>
    </row>
    <row r="94" spans="15:15" x14ac:dyDescent="0.25">
      <c r="O94" s="12"/>
    </row>
    <row r="95" spans="15:15" x14ac:dyDescent="0.25">
      <c r="O95" s="12"/>
    </row>
    <row r="96" spans="15:15" x14ac:dyDescent="0.25">
      <c r="O96" s="12"/>
    </row>
    <row r="97" spans="15:15" x14ac:dyDescent="0.25">
      <c r="O97" s="12"/>
    </row>
    <row r="98" spans="15:15" x14ac:dyDescent="0.25">
      <c r="O98" s="12"/>
    </row>
    <row r="99" spans="15:15" x14ac:dyDescent="0.25">
      <c r="O99" s="12"/>
    </row>
    <row r="100" spans="15:15" x14ac:dyDescent="0.25">
      <c r="O100" s="12"/>
    </row>
    <row r="101" spans="15:15" x14ac:dyDescent="0.25">
      <c r="O101" s="12"/>
    </row>
    <row r="102" spans="15:15" x14ac:dyDescent="0.25">
      <c r="O102" s="12"/>
    </row>
    <row r="103" spans="15:15" x14ac:dyDescent="0.25">
      <c r="O103" s="12"/>
    </row>
    <row r="104" spans="15:15" x14ac:dyDescent="0.25">
      <c r="O104" s="12"/>
    </row>
    <row r="105" spans="15:15" x14ac:dyDescent="0.25">
      <c r="O105" s="12"/>
    </row>
    <row r="106" spans="15:15" x14ac:dyDescent="0.25">
      <c r="O106" s="12"/>
    </row>
    <row r="107" spans="15:15" x14ac:dyDescent="0.25">
      <c r="O107" s="12"/>
    </row>
    <row r="108" spans="15:15" x14ac:dyDescent="0.25">
      <c r="O108" s="12"/>
    </row>
    <row r="109" spans="15:15" x14ac:dyDescent="0.25">
      <c r="O109" s="12"/>
    </row>
    <row r="110" spans="15:15" x14ac:dyDescent="0.25">
      <c r="O110" s="12"/>
    </row>
    <row r="111" spans="15:15" x14ac:dyDescent="0.25">
      <c r="O111" s="12"/>
    </row>
    <row r="112" spans="15:15" x14ac:dyDescent="0.25">
      <c r="O112" s="12"/>
    </row>
    <row r="113" spans="15:15" x14ac:dyDescent="0.25">
      <c r="O113" s="12"/>
    </row>
    <row r="114" spans="15:15" x14ac:dyDescent="0.25">
      <c r="O114" s="12"/>
    </row>
    <row r="115" spans="15:15" x14ac:dyDescent="0.25">
      <c r="O115" s="12"/>
    </row>
    <row r="116" spans="15:15" x14ac:dyDescent="0.25">
      <c r="O116" s="12"/>
    </row>
    <row r="117" spans="15:15" x14ac:dyDescent="0.25">
      <c r="O117" s="12"/>
    </row>
    <row r="118" spans="15:15" x14ac:dyDescent="0.25">
      <c r="O118" s="12"/>
    </row>
    <row r="119" spans="15:15" x14ac:dyDescent="0.25">
      <c r="O119" s="12"/>
    </row>
    <row r="120" spans="15:15" x14ac:dyDescent="0.25">
      <c r="O120" s="12"/>
    </row>
    <row r="121" spans="15:15" x14ac:dyDescent="0.25">
      <c r="O121" s="12"/>
    </row>
    <row r="122" spans="15:15" x14ac:dyDescent="0.25">
      <c r="O122" s="12"/>
    </row>
    <row r="123" spans="15:15" x14ac:dyDescent="0.25">
      <c r="O123" s="12"/>
    </row>
    <row r="124" spans="15:15" x14ac:dyDescent="0.25">
      <c r="O124" s="12"/>
    </row>
    <row r="125" spans="15:15" x14ac:dyDescent="0.25">
      <c r="O125" s="12"/>
    </row>
    <row r="126" spans="15:15" x14ac:dyDescent="0.25">
      <c r="O126" s="12"/>
    </row>
    <row r="127" spans="15:15" x14ac:dyDescent="0.25">
      <c r="O127" s="12"/>
    </row>
    <row r="128" spans="15:15" x14ac:dyDescent="0.25">
      <c r="O128" s="12"/>
    </row>
    <row r="129" spans="15:15" x14ac:dyDescent="0.25">
      <c r="O129" s="12"/>
    </row>
    <row r="130" spans="15:15" x14ac:dyDescent="0.25">
      <c r="O130" s="12"/>
    </row>
    <row r="131" spans="15:15" x14ac:dyDescent="0.25">
      <c r="O131" s="12"/>
    </row>
    <row r="132" spans="15:15" x14ac:dyDescent="0.25">
      <c r="O132" s="12"/>
    </row>
    <row r="133" spans="15:15" x14ac:dyDescent="0.25">
      <c r="O133" s="12"/>
    </row>
    <row r="134" spans="15:15" x14ac:dyDescent="0.25">
      <c r="O134" s="12"/>
    </row>
  </sheetData>
  <dataValidations count="1">
    <dataValidation type="list" allowBlank="1" showInputMessage="1" showErrorMessage="1" sqref="I4:I35">
      <formula1>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 Sheet</vt:lpstr>
      <vt:lpstr>Shape 1</vt:lpstr>
      <vt:lpstr>wt per m</vt:lpstr>
      <vt:lpstr>ring file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GIRDHER Kamal IMT/OLPS</dc:creator>
  <cp:lastModifiedBy>GIRDHER Kamal SCE/IBNF</cp:lastModifiedBy>
  <dcterms:created xsi:type="dcterms:W3CDTF">2006-09-16T00:00:00Z</dcterms:created>
  <dcterms:modified xsi:type="dcterms:W3CDTF">2016-10-31T17:56:55Z</dcterms:modified>
</cp:coreProperties>
</file>