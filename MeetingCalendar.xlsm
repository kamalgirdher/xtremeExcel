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135" windowWidth="20115" windowHeight="7935"/>
  </bookViews>
  <sheets>
    <sheet name="Sheet1" sheetId="1" r:id="rId1"/>
  </sheets>
  <functionGroups/>
  <definedNames>
    <definedName name="list">Sheet1!$F$5:$F$15</definedName>
  </definedNames>
  <calcPr calcId="124519"/>
</workbook>
</file>

<file path=xl/calcChain.xml><?xml version="1.0" encoding="utf-8"?>
<calcChain xmlns="http://schemas.openxmlformats.org/spreadsheetml/2006/main">
  <c r="B25" i="1"/>
  <c r="C18"/>
  <c r="B28"/>
  <c r="B27"/>
  <c r="B26" l="1"/>
  <c r="C25"/>
  <c r="C28"/>
  <c r="C27"/>
  <c r="C26" l="1"/>
  <c r="D25"/>
  <c r="D28"/>
  <c r="D27"/>
  <c r="D26" l="1"/>
  <c r="E25"/>
  <c r="E27"/>
  <c r="E28"/>
  <c r="E26" l="1"/>
  <c r="F25"/>
  <c r="F28"/>
  <c r="F27"/>
  <c r="G25" l="1"/>
  <c r="F26"/>
  <c r="G28"/>
  <c r="G27"/>
  <c r="H25" l="1"/>
  <c r="G26"/>
  <c r="H28"/>
  <c r="H27"/>
  <c r="B29" l="1"/>
  <c r="H26"/>
  <c r="B32"/>
  <c r="B31"/>
  <c r="C29" l="1"/>
  <c r="B30"/>
  <c r="C32"/>
  <c r="C31"/>
  <c r="D29" l="1"/>
  <c r="C30"/>
  <c r="D32"/>
  <c r="D31"/>
  <c r="E29" l="1"/>
  <c r="D30"/>
  <c r="E32"/>
  <c r="E31"/>
  <c r="F29" l="1"/>
  <c r="E30"/>
  <c r="F32"/>
  <c r="F31"/>
  <c r="G29" l="1"/>
  <c r="F30"/>
  <c r="G32"/>
  <c r="G31"/>
  <c r="H29" l="1"/>
  <c r="G30"/>
  <c r="H32"/>
  <c r="H31"/>
  <c r="B33" l="1"/>
  <c r="H30"/>
  <c r="B36"/>
  <c r="B35"/>
  <c r="C33" l="1"/>
  <c r="B34"/>
  <c r="C36"/>
  <c r="C35"/>
  <c r="D33" l="1"/>
  <c r="C34"/>
  <c r="D35"/>
  <c r="D36"/>
  <c r="E33" l="1"/>
  <c r="D34"/>
  <c r="E36"/>
  <c r="E35"/>
  <c r="F33" l="1"/>
  <c r="E34"/>
  <c r="F36"/>
  <c r="F35"/>
  <c r="G33" l="1"/>
  <c r="F34"/>
  <c r="G36"/>
  <c r="G35"/>
  <c r="H33" l="1"/>
  <c r="G34"/>
  <c r="H36"/>
  <c r="H35"/>
  <c r="B37" l="1"/>
  <c r="H34"/>
  <c r="B40"/>
  <c r="B39"/>
  <c r="C37" l="1"/>
  <c r="B38"/>
  <c r="C40"/>
  <c r="C39"/>
  <c r="D37" l="1"/>
  <c r="C38"/>
  <c r="D40"/>
  <c r="D39"/>
  <c r="E37" l="1"/>
  <c r="D38"/>
  <c r="E40"/>
  <c r="E39"/>
  <c r="F37" l="1"/>
  <c r="E38"/>
  <c r="F40"/>
  <c r="F39"/>
  <c r="G37" l="1"/>
  <c r="F38"/>
  <c r="G40"/>
  <c r="G39"/>
  <c r="H37" l="1"/>
  <c r="G38"/>
  <c r="H40"/>
  <c r="H39"/>
  <c r="B41" l="1"/>
  <c r="H38"/>
  <c r="B44"/>
  <c r="B43"/>
  <c r="C41" l="1"/>
  <c r="B42"/>
  <c r="C44"/>
  <c r="C43"/>
  <c r="D41" l="1"/>
  <c r="C42"/>
  <c r="D44"/>
  <c r="D43"/>
  <c r="E41" l="1"/>
  <c r="D42"/>
  <c r="E44"/>
  <c r="E43"/>
  <c r="F41" l="1"/>
  <c r="E42"/>
  <c r="F44"/>
  <c r="F43"/>
  <c r="G41" l="1"/>
  <c r="F42"/>
  <c r="G44"/>
  <c r="G43"/>
  <c r="H41" l="1"/>
  <c r="G42"/>
  <c r="H44"/>
  <c r="H43"/>
  <c r="B45" l="1"/>
  <c r="H42"/>
  <c r="B47"/>
  <c r="C45" l="1"/>
  <c r="B46"/>
  <c r="B48"/>
  <c r="C47"/>
  <c r="D45" l="1"/>
  <c r="C46"/>
  <c r="C48"/>
  <c r="D48"/>
  <c r="D47"/>
  <c r="E45" l="1"/>
  <c r="D46"/>
  <c r="E47"/>
  <c r="F45" l="1"/>
  <c r="E46"/>
  <c r="F48"/>
  <c r="E48"/>
  <c r="F47"/>
  <c r="G45" l="1"/>
  <c r="F46"/>
  <c r="G47"/>
  <c r="H45" l="1"/>
  <c r="G46"/>
  <c r="G48"/>
  <c r="H47"/>
  <c r="H46" l="1"/>
  <c r="H48"/>
</calcChain>
</file>

<file path=xl/sharedStrings.xml><?xml version="1.0" encoding="utf-8"?>
<sst xmlns="http://schemas.openxmlformats.org/spreadsheetml/2006/main" count="23" uniqueCount="23">
  <si>
    <t>Month</t>
  </si>
  <si>
    <t>Year</t>
  </si>
  <si>
    <t>Lunes</t>
  </si>
  <si>
    <t>Martes</t>
  </si>
  <si>
    <t>Miércoles</t>
  </si>
  <si>
    <t>Jueves</t>
  </si>
  <si>
    <t>Viernes</t>
  </si>
  <si>
    <t>Sábado</t>
  </si>
  <si>
    <t>Domingo</t>
  </si>
  <si>
    <t>Cuenta</t>
  </si>
  <si>
    <t>Producto</t>
  </si>
  <si>
    <t>Objetivo</t>
  </si>
  <si>
    <t>Cumplimiento</t>
  </si>
  <si>
    <t>meeting One</t>
  </si>
  <si>
    <t>meeting two</t>
  </si>
  <si>
    <t>meeting three</t>
  </si>
  <si>
    <t>meeting four</t>
  </si>
  <si>
    <t>meeting five</t>
  </si>
  <si>
    <t>meeting six</t>
  </si>
  <si>
    <t>meeting seven</t>
  </si>
  <si>
    <t>meeting eight</t>
  </si>
  <si>
    <t>meeting nine</t>
  </si>
  <si>
    <t>meeting ten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</si>
</sst>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0" fillId="0" borderId="1" xfId="0" applyBorder="1"/>
    <xf numFmtId="0" fontId="5" fillId="0" borderId="3" xfId="0" applyFont="1" applyBorder="1" applyAlignment="1">
      <alignment horizontal="left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5" fillId="0" borderId="2" xfId="0" applyFont="1" applyBorder="1" applyAlignment="1">
      <alignment horizontal="left" vertical="center"/>
    </xf>
    <xf numFmtId="0" fontId="2" fillId="0" borderId="0" xfId="0" applyFont="1"/>
    <xf numFmtId="0" fontId="2" fillId="4" borderId="1" xfId="0" applyFont="1" applyFill="1" applyBorder="1"/>
    <xf numFmtId="0" fontId="2" fillId="4" borderId="1" xfId="0" applyFont="1" applyFill="1" applyBorder="1" applyAlignment="1">
      <alignment horizontal="center"/>
    </xf>
    <xf numFmtId="14" fontId="5" fillId="0" borderId="7" xfId="0" applyNumberFormat="1" applyFont="1" applyBorder="1" applyAlignment="1">
      <alignment horizontal="left" vertical="center"/>
    </xf>
    <xf numFmtId="14" fontId="0" fillId="0" borderId="1" xfId="0" applyNumberFormat="1" applyBorder="1"/>
    <xf numFmtId="0" fontId="2" fillId="0" borderId="0" xfId="0" applyFont="1" applyFill="1" applyBorder="1"/>
    <xf numFmtId="0" fontId="1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PropertyBag">
  <ax:ocxPr ax:name="Size" ax:value="714;873"/>
  <ax:ocxPr ax:name="Min" ax:value="1"/>
  <ax:ocxPr ax:name="Max" ax:value="12"/>
  <ax:ocxPr ax:name="Position" ax:value="9"/>
</ax:ocx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PropertyBag">
  <ax:ocxPr ax:name="Size" ax:value="714;873"/>
  <ax:ocxPr ax:name="Min" ax:value="2015"/>
  <ax:ocxPr ax:name="Max" ax:value="2016"/>
  <ax:ocxPr ax:name="Position" ax:value="2015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48"/>
  <sheetViews>
    <sheetView showGridLines="0" tabSelected="1" zoomScale="80" zoomScaleNormal="80" workbookViewId="0">
      <selection activeCell="A2" sqref="A2:C3"/>
    </sheetView>
  </sheetViews>
  <sheetFormatPr defaultRowHeight="15"/>
  <cols>
    <col min="2" max="6" width="13.7109375" customWidth="1"/>
    <col min="7" max="7" width="12.7109375" customWidth="1"/>
    <col min="8" max="20" width="13.7109375" customWidth="1"/>
  </cols>
  <sheetData>
    <row r="2" spans="1:7">
      <c r="A2" s="8"/>
      <c r="G2" s="8"/>
    </row>
    <row r="3" spans="1:7">
      <c r="A3" s="8"/>
      <c r="G3" s="8"/>
    </row>
    <row r="4" spans="1:7">
      <c r="A4" s="8"/>
      <c r="G4" s="8"/>
    </row>
    <row r="5" spans="1:7">
      <c r="B5" s="8"/>
      <c r="C5" s="9" t="s">
        <v>9</v>
      </c>
      <c r="D5" s="9" t="s">
        <v>10</v>
      </c>
      <c r="E5" s="9" t="s">
        <v>11</v>
      </c>
      <c r="F5" s="9" t="s">
        <v>12</v>
      </c>
    </row>
    <row r="6" spans="1:7">
      <c r="B6" s="10">
        <v>1</v>
      </c>
      <c r="C6" s="2"/>
      <c r="D6" s="2"/>
      <c r="E6" s="2" t="s">
        <v>13</v>
      </c>
      <c r="F6" s="12">
        <v>42262</v>
      </c>
    </row>
    <row r="7" spans="1:7">
      <c r="B7" s="10">
        <v>2</v>
      </c>
      <c r="C7" s="2"/>
      <c r="D7" s="2"/>
      <c r="E7" s="2" t="s">
        <v>14</v>
      </c>
      <c r="F7" s="12">
        <v>42259</v>
      </c>
      <c r="G7" s="13"/>
    </row>
    <row r="8" spans="1:7">
      <c r="B8" s="10">
        <v>3</v>
      </c>
      <c r="C8" s="2"/>
      <c r="D8" s="2"/>
      <c r="E8" s="2" t="s">
        <v>15</v>
      </c>
      <c r="F8" s="12">
        <v>42264</v>
      </c>
      <c r="G8" s="13"/>
    </row>
    <row r="9" spans="1:7">
      <c r="B9" s="10">
        <v>4</v>
      </c>
      <c r="C9" s="2"/>
      <c r="D9" s="2"/>
      <c r="E9" s="2" t="s">
        <v>16</v>
      </c>
      <c r="F9" s="12">
        <v>42272</v>
      </c>
      <c r="G9" s="13"/>
    </row>
    <row r="10" spans="1:7">
      <c r="B10" s="10">
        <v>5</v>
      </c>
      <c r="C10" s="2"/>
      <c r="D10" s="2"/>
      <c r="E10" s="2" t="s">
        <v>17</v>
      </c>
      <c r="F10" s="12">
        <v>42262</v>
      </c>
      <c r="G10" s="13"/>
    </row>
    <row r="11" spans="1:7">
      <c r="B11" s="10">
        <v>6</v>
      </c>
      <c r="C11" s="2"/>
      <c r="D11" s="2"/>
      <c r="E11" s="2" t="s">
        <v>18</v>
      </c>
      <c r="F11" s="12">
        <v>42254</v>
      </c>
    </row>
    <row r="12" spans="1:7">
      <c r="B12" s="10">
        <v>7</v>
      </c>
      <c r="C12" s="2"/>
      <c r="D12" s="2"/>
      <c r="E12" s="2" t="s">
        <v>19</v>
      </c>
      <c r="F12" s="12">
        <v>42262</v>
      </c>
      <c r="G12" s="13"/>
    </row>
    <row r="13" spans="1:7">
      <c r="B13" s="10">
        <v>8</v>
      </c>
      <c r="C13" s="2"/>
      <c r="D13" s="2"/>
      <c r="E13" s="2" t="s">
        <v>20</v>
      </c>
      <c r="F13" s="12">
        <v>42254</v>
      </c>
    </row>
    <row r="14" spans="1:7">
      <c r="B14" s="10">
        <v>9</v>
      </c>
      <c r="C14" s="2"/>
      <c r="D14" s="2"/>
      <c r="E14" s="2" t="s">
        <v>21</v>
      </c>
      <c r="F14" s="12">
        <v>42251</v>
      </c>
    </row>
    <row r="15" spans="1:7">
      <c r="B15" s="10">
        <v>10</v>
      </c>
      <c r="C15" s="2"/>
      <c r="D15" s="2"/>
      <c r="E15" s="2" t="s">
        <v>22</v>
      </c>
      <c r="F15" s="12">
        <v>42251</v>
      </c>
    </row>
    <row r="16" spans="1:7">
      <c r="A16" s="8"/>
    </row>
    <row r="18" spans="1:11">
      <c r="A18" s="15">
        <v>9</v>
      </c>
      <c r="B18" s="14" t="s">
        <v>0</v>
      </c>
      <c r="C18" s="16" t="str">
        <f>+CHOOSE(A18,"Ene","Feb","Mar","Abr","May","Jun","Jul","Ago","Sep","Oct","Nov","Dic")</f>
        <v>Sep</v>
      </c>
      <c r="E18" s="1"/>
      <c r="G18" s="1"/>
    </row>
    <row r="19" spans="1:11">
      <c r="A19" s="15"/>
      <c r="B19" s="14"/>
      <c r="C19" s="17"/>
    </row>
    <row r="20" spans="1:11">
      <c r="A20" s="18"/>
      <c r="B20" s="14" t="s">
        <v>1</v>
      </c>
      <c r="C20" s="16">
        <v>2015</v>
      </c>
    </row>
    <row r="21" spans="1:11">
      <c r="A21" s="18"/>
      <c r="B21" s="14"/>
      <c r="C21" s="17"/>
    </row>
    <row r="22" spans="1:11">
      <c r="K22" s="8"/>
    </row>
    <row r="23" spans="1:11" ht="15.75" thickBot="1"/>
    <row r="24" spans="1:11" ht="15.75">
      <c r="B24" s="4" t="s">
        <v>8</v>
      </c>
      <c r="C24" s="5" t="s">
        <v>2</v>
      </c>
      <c r="D24" s="5" t="s">
        <v>3</v>
      </c>
      <c r="E24" s="5" t="s">
        <v>4</v>
      </c>
      <c r="F24" s="5" t="s">
        <v>5</v>
      </c>
      <c r="G24" s="5" t="s">
        <v>6</v>
      </c>
      <c r="H24" s="6" t="s">
        <v>7</v>
      </c>
    </row>
    <row r="25" spans="1:11">
      <c r="B25" s="7" t="str">
        <f>+IF(WEEKDAY(DATE(C20,A18,1))=1,1," ")</f>
        <v xml:space="preserve"> </v>
      </c>
      <c r="C25" s="7" t="str">
        <f>IF(WEEKDAY(DATE(C20,A18,1))=2,1,IF(ISERROR(B25+1),"",B25+1))</f>
        <v/>
      </c>
      <c r="D25" s="7">
        <f>IF(WEEKDAY(DATE(C20,A18,1))=3,1,IF(ISERROR((C25+1))," ",(C25+1)))</f>
        <v>1</v>
      </c>
      <c r="E25" s="7">
        <f>IF(WEEKDAY(DATE(C20,A18,1))=4,1,IF(ISERROR((D25+1))," ",D25+1))</f>
        <v>2</v>
      </c>
      <c r="F25" s="7">
        <f>IF(WEEKDAY(DATE(C20,A18,1))=5,1,IF(ISERROR((E25+1))," ",E25+1))</f>
        <v>3</v>
      </c>
      <c r="G25" s="7">
        <f>IF(WEEKDAY(DATE(C20,A18,1))=6,1,IF(ISERROR((F25+1))," ",F25+1))</f>
        <v>4</v>
      </c>
      <c r="H25" s="7">
        <f>IF(WEEKDAY(DATE(C20,A18,1))=7,1,IF(ISERROR((G25+1))," ",G25+1))</f>
        <v>5</v>
      </c>
    </row>
    <row r="26" spans="1:11">
      <c r="B26" s="11" t="str">
        <f t="shared" ref="B26:H26" si="0">IFERROR(IF(MATCH(DATE($C$20,$A$18,B25),$F$6:$F$15,0)&gt;0,INDEX($E$6:$E$15,MATCH(DATE($C$20,$A$18,B25),$F$6:$F$15,0),1),""),"")</f>
        <v/>
      </c>
      <c r="C26" s="11" t="str">
        <f t="shared" si="0"/>
        <v/>
      </c>
      <c r="D26" s="11" t="str">
        <f>IFERROR(IF(MATCH(DATE($C$20,$A$18,D25),$F$6:$F$15,0)&gt;0,INDEX($E$6:$E$15,MATCH(DATE($C$20,$A$18,D25),$F$6:$F$15,0),1),""),"")</f>
        <v/>
      </c>
      <c r="E26" s="11" t="str">
        <f>IFERROR(IF(MATCH(DATE($C$20,$A$18,E25),$F$6:$F$15,0)&gt;0,INDEX($E$6:$E$15,MATCH(DATE($C$20,$A$18,E25),$F$6:$F$15,0),1),""),"")</f>
        <v/>
      </c>
      <c r="F26" s="11" t="str">
        <f t="shared" si="0"/>
        <v/>
      </c>
      <c r="G26" s="11" t="str">
        <f t="shared" si="0"/>
        <v>meeting nine</v>
      </c>
      <c r="H26" s="11" t="str">
        <f t="shared" si="0"/>
        <v/>
      </c>
      <c r="J26" s="1"/>
    </row>
    <row r="27" spans="1:11">
      <c r="B27" s="11" t="str">
        <f>IFERROR(microk(list,TEXT(DATE($C$20,$A$18,B25),"MM/DD/YYYY"),2,0,-1),"")</f>
        <v/>
      </c>
      <c r="C27" s="11" t="str">
        <f>IFERROR(microk(list,TEXT(DATE($C$20,$A$18,C25),"MM/DD/YYYY"),2,0,-1),"")</f>
        <v/>
      </c>
      <c r="D27" s="11" t="str">
        <f>IFERROR(microk(list,TEXT(DATE($C$20,$A$18,D25),"MM/DD/YYYY"),2,0,-1),"")</f>
        <v/>
      </c>
      <c r="E27" s="11" t="str">
        <f>IFERROR(microk(list,TEXT(DATE($C$20,$A$18,E25),"MM/DD/YYYY"),2,0,-1),"")</f>
        <v/>
      </c>
      <c r="F27" s="11" t="str">
        <f>IFERROR(microk(list,TEXT(DATE($C$20,$A$18,F25),"MM/DD/YYYY"),2,0,-1),"")</f>
        <v/>
      </c>
      <c r="G27" s="11" t="str">
        <f>IFERROR(microk(list,TEXT(DATE($C$20,$A$18,G25),"MM/DD/YYYY"),2,0,-1),"")</f>
        <v>meeting ten</v>
      </c>
      <c r="H27" s="11" t="str">
        <f>IFERROR(microk(list,TEXT(DATE($C$20,$A$18,H25),"MM/DD/YYYY"),2,0,-1),"")</f>
        <v/>
      </c>
    </row>
    <row r="28" spans="1:11">
      <c r="B28" s="3" t="str">
        <f>IFERROR(microk(list,TEXT(DATE($C$20,$A$18,B25),"MM/DD/YYYY"),3,0,-1),"")</f>
        <v/>
      </c>
      <c r="C28" s="3" t="str">
        <f>IFERROR(microk(list,TEXT(DATE($C$20,$A$18,C25),"MM/DD/YYYY"),3,0,-1),"")</f>
        <v/>
      </c>
      <c r="D28" s="3" t="str">
        <f>IFERROR(microk(list,TEXT(DATE($C$20,$A$18,D25),"MM/DD/YYYY"),3,0,-1),"")</f>
        <v/>
      </c>
      <c r="E28" s="3" t="str">
        <f>IFERROR(microk(list,TEXT(DATE($C$20,$A$18,E25),"MM/DD/YYYY"),3,0,-1),"")</f>
        <v/>
      </c>
      <c r="F28" s="3" t="str">
        <f>IFERROR(microk(list,TEXT(DATE($C$20,$A$18,F25),"MM/DD/YYYY"),3,0,-1),"")</f>
        <v/>
      </c>
      <c r="G28" s="3" t="str">
        <f>IFERROR(microk(list,TEXT(DATE($C$20,$A$18,G25),"MM/DD/YYYY"),3,0,-1),"")</f>
        <v/>
      </c>
      <c r="H28" s="3" t="str">
        <f>IFERROR(microk(list,TEXT(DATE($C$20,$A$18,H25),"MM/DD/YYYY"),3,0,-1),"")</f>
        <v/>
      </c>
    </row>
    <row r="29" spans="1:11">
      <c r="B29" s="7">
        <f>H25+1</f>
        <v>6</v>
      </c>
      <c r="C29" s="7">
        <f t="shared" ref="C29:H29" si="1">B29+1</f>
        <v>7</v>
      </c>
      <c r="D29" s="7">
        <f t="shared" si="1"/>
        <v>8</v>
      </c>
      <c r="E29" s="7">
        <f t="shared" si="1"/>
        <v>9</v>
      </c>
      <c r="F29" s="7">
        <f t="shared" si="1"/>
        <v>10</v>
      </c>
      <c r="G29" s="7">
        <f t="shared" si="1"/>
        <v>11</v>
      </c>
      <c r="H29" s="7">
        <f t="shared" si="1"/>
        <v>12</v>
      </c>
    </row>
    <row r="30" spans="1:11">
      <c r="B30" s="11" t="str">
        <f t="shared" ref="B30:H30" si="2">IFERROR(IF(MATCH(DATE($C$20,$A$18,B29),$F$6:$F$15,0)&gt;0,INDEX($E$6:$E$15,MATCH(DATE($C$20,$A$18,B29),$F$6:$F$15,0),1),""),"")</f>
        <v/>
      </c>
      <c r="C30" s="11" t="str">
        <f t="shared" si="2"/>
        <v>meeting six</v>
      </c>
      <c r="D30" s="11" t="str">
        <f t="shared" si="2"/>
        <v/>
      </c>
      <c r="E30" s="11" t="str">
        <f t="shared" si="2"/>
        <v/>
      </c>
      <c r="F30" s="11" t="str">
        <f t="shared" si="2"/>
        <v/>
      </c>
      <c r="G30" s="11" t="str">
        <f t="shared" si="2"/>
        <v/>
      </c>
      <c r="H30" s="11" t="str">
        <f t="shared" si="2"/>
        <v>meeting two</v>
      </c>
    </row>
    <row r="31" spans="1:11">
      <c r="B31" s="11" t="str">
        <f>IFERROR(microk(list,TEXT(DATE($C$20,$A$18,B29),"MM/DD/YYYY"),2,0,-1),"")</f>
        <v/>
      </c>
      <c r="C31" s="11" t="str">
        <f>IFERROR(microk(list,TEXT(DATE($C$20,$A$18,C29),"MM/DD/YYYY"),2,0,-1),"")</f>
        <v>meeting eight</v>
      </c>
      <c r="D31" s="11" t="str">
        <f>IFERROR(microk(list,TEXT(DATE($C$20,$A$18,D29),"MM/DD/YYYY"),2,0,-1),"")</f>
        <v/>
      </c>
      <c r="E31" s="11" t="str">
        <f>IFERROR(microk(list,TEXT(DATE($C$20,$A$18,E29),"MM/DD/YYYY"),2,0,-1),"")</f>
        <v/>
      </c>
      <c r="F31" s="11" t="str">
        <f>IFERROR(microk(list,TEXT(DATE($C$20,$A$18,F29),"MM/DD/YYYY"),2,0,-1),"")</f>
        <v/>
      </c>
      <c r="G31" s="11" t="str">
        <f>IFERROR(microk(list,TEXT(DATE($C$20,$A$18,G29),"MM/DD/YYYY"),2,0,-1),"")</f>
        <v/>
      </c>
      <c r="H31" s="11" t="str">
        <f>IFERROR(microk(list,TEXT(DATE($C$20,$A$18,H29),"MM/DD/YYYY"),2,0,-1),"")</f>
        <v/>
      </c>
    </row>
    <row r="32" spans="1:11">
      <c r="B32" s="3" t="str">
        <f>IFERROR(microk(list,TEXT(DATE($C$20,$A$18,B29),"MM/DD/YYYY"),3,0,-1),"")</f>
        <v/>
      </c>
      <c r="C32" s="3" t="str">
        <f>IFERROR(microk(list,TEXT(DATE($C$20,$A$18,C29),"MM/DD/YYYY"),3,0,-1),"")</f>
        <v/>
      </c>
      <c r="D32" s="3" t="str">
        <f>IFERROR(microk(list,TEXT(DATE($C$20,$A$18,D29),"MM/DD/YYYY"),3,0,-1),"")</f>
        <v/>
      </c>
      <c r="E32" s="3" t="str">
        <f>IFERROR(microk(list,TEXT(DATE($C$20,$A$18,E29),"MM/DD/YYYY"),3,0,-1),"")</f>
        <v/>
      </c>
      <c r="F32" s="3" t="str">
        <f>IFERROR(microk(list,TEXT(DATE($C$20,$A$18,F29),"MM/DD/YYYY"),3,0,-1),"")</f>
        <v/>
      </c>
      <c r="G32" s="3" t="str">
        <f>IFERROR(microk(list,TEXT(DATE($C$20,$A$18,G29),"MM/DD/YYYY"),3,0,-1),"")</f>
        <v/>
      </c>
      <c r="H32" s="3" t="str">
        <f>IFERROR(microk(list,TEXT(DATE($C$20,$A$18,H29),"MM/DD/YYYY"),3,0,-1),"")</f>
        <v/>
      </c>
    </row>
    <row r="33" spans="2:8">
      <c r="B33" s="7">
        <f>H29+1</f>
        <v>13</v>
      </c>
      <c r="C33" s="7">
        <f t="shared" ref="C33:H33" si="3">B33+1</f>
        <v>14</v>
      </c>
      <c r="D33" s="7">
        <f t="shared" si="3"/>
        <v>15</v>
      </c>
      <c r="E33" s="7">
        <f t="shared" si="3"/>
        <v>16</v>
      </c>
      <c r="F33" s="7">
        <f t="shared" si="3"/>
        <v>17</v>
      </c>
      <c r="G33" s="7">
        <f t="shared" si="3"/>
        <v>18</v>
      </c>
      <c r="H33" s="7">
        <f t="shared" si="3"/>
        <v>19</v>
      </c>
    </row>
    <row r="34" spans="2:8">
      <c r="B34" s="11" t="str">
        <f t="shared" ref="B34:H34" si="4">IFERROR(IF(MATCH(DATE($C$20,$A$18,B33),$F$6:$F$15,0)&gt;0,INDEX($E$6:$E$15,MATCH(DATE($C$20,$A$18,B33),$F$6:$F$15,0),1),""),"")</f>
        <v/>
      </c>
      <c r="C34" s="11" t="str">
        <f t="shared" si="4"/>
        <v/>
      </c>
      <c r="D34" s="11" t="str">
        <f t="shared" si="4"/>
        <v>meeting One</v>
      </c>
      <c r="E34" s="11" t="str">
        <f t="shared" si="4"/>
        <v/>
      </c>
      <c r="F34" s="11" t="str">
        <f t="shared" si="4"/>
        <v>meeting three</v>
      </c>
      <c r="G34" s="11" t="str">
        <f t="shared" si="4"/>
        <v/>
      </c>
      <c r="H34" s="11" t="str">
        <f t="shared" si="4"/>
        <v/>
      </c>
    </row>
    <row r="35" spans="2:8">
      <c r="B35" s="11" t="str">
        <f>IFERROR(microk(list,TEXT(DATE($C$20,$A$18,B33),"MM/DD/YYYY"),2,0,-1),"")</f>
        <v/>
      </c>
      <c r="C35" s="11" t="str">
        <f>IFERROR(microk(list,TEXT(DATE($C$20,$A$18,C33),"MM/DD/YYYY"),2,0,-1),"")</f>
        <v/>
      </c>
      <c r="D35" s="11" t="str">
        <f>IFERROR(microk(list,TEXT(DATE($C$20,$A$18,D33),"MM/DD/YYYY"),2,0,-1),"")</f>
        <v>meeting five</v>
      </c>
      <c r="E35" s="11" t="str">
        <f>IFERROR(microk(list,TEXT(DATE($C$20,$A$18,E33),"MM/DD/YYYY"),2,0,-1),"")</f>
        <v/>
      </c>
      <c r="F35" s="11" t="str">
        <f>IFERROR(microk(list,TEXT(DATE($C$20,$A$18,F33),"MM/DD/YYYY"),2,0,-1),"")</f>
        <v/>
      </c>
      <c r="G35" s="11" t="str">
        <f>IFERROR(microk(list,TEXT(DATE($C$20,$A$18,G33),"MM/DD/YYYY"),2,0,-1),"")</f>
        <v/>
      </c>
      <c r="H35" s="11" t="str">
        <f>IFERROR(microk(list,TEXT(DATE($C$20,$A$18,H33),"MM/DD/YYYY"),2,0,-1),"")</f>
        <v/>
      </c>
    </row>
    <row r="36" spans="2:8">
      <c r="B36" s="3" t="str">
        <f>IFERROR(microk(list,TEXT(DATE($C$20,$A$18,B33),"MM/DD/YYYY"),3,0,-1),"")</f>
        <v/>
      </c>
      <c r="C36" s="3" t="str">
        <f>IFERROR(microk(list,TEXT(DATE($C$20,$A$18,C33),"MM/DD/YYYY"),3,0,-1),"")</f>
        <v/>
      </c>
      <c r="D36" s="3" t="str">
        <f>IFERROR(microk(list,TEXT(DATE($C$20,$A$18,D33),"MM/DD/YYYY"),3,0,-1),"")</f>
        <v>meeting seven</v>
      </c>
      <c r="E36" s="3" t="str">
        <f>IFERROR(microk(list,TEXT(DATE($C$20,$A$18,E33),"MM/DD/YYYY"),3,0,-1),"")</f>
        <v/>
      </c>
      <c r="F36" s="3" t="str">
        <f>IFERROR(microk(list,TEXT(DATE($C$20,$A$18,F33),"MM/DD/YYYY"),3,0,-1),"")</f>
        <v/>
      </c>
      <c r="G36" s="3" t="str">
        <f>IFERROR(microk(list,TEXT(DATE($C$20,$A$18,G33),"MM/DD/YYYY"),3,0,-1),"")</f>
        <v/>
      </c>
      <c r="H36" s="3" t="str">
        <f>IFERROR(microk(list,TEXT(DATE($C$20,$A$18,H33),"MM/DD/YYYY"),3,0,-1),"")</f>
        <v/>
      </c>
    </row>
    <row r="37" spans="2:8">
      <c r="B37" s="7">
        <f>H33+1</f>
        <v>20</v>
      </c>
      <c r="C37" s="7">
        <f t="shared" ref="C37:H37" si="5">B37+1</f>
        <v>21</v>
      </c>
      <c r="D37" s="7">
        <f t="shared" si="5"/>
        <v>22</v>
      </c>
      <c r="E37" s="7">
        <f t="shared" si="5"/>
        <v>23</v>
      </c>
      <c r="F37" s="7">
        <f t="shared" si="5"/>
        <v>24</v>
      </c>
      <c r="G37" s="7">
        <f t="shared" si="5"/>
        <v>25</v>
      </c>
      <c r="H37" s="7">
        <f t="shared" si="5"/>
        <v>26</v>
      </c>
    </row>
    <row r="38" spans="2:8">
      <c r="B38" s="11" t="str">
        <f t="shared" ref="B38:H38" si="6">IFERROR(IF(MATCH(DATE($C$20,$A$18,B37),$F$6:$F$15,0)&gt;0,INDEX($E$6:$E$15,MATCH(DATE($C$20,$A$18,B37),$F$6:$F$15,0),1),""),"")</f>
        <v/>
      </c>
      <c r="C38" s="11" t="str">
        <f t="shared" si="6"/>
        <v/>
      </c>
      <c r="D38" s="11" t="str">
        <f t="shared" si="6"/>
        <v/>
      </c>
      <c r="E38" s="11" t="str">
        <f t="shared" si="6"/>
        <v/>
      </c>
      <c r="F38" s="11" t="str">
        <f t="shared" si="6"/>
        <v/>
      </c>
      <c r="G38" s="11" t="str">
        <f t="shared" si="6"/>
        <v>meeting four</v>
      </c>
      <c r="H38" s="11" t="str">
        <f t="shared" si="6"/>
        <v/>
      </c>
    </row>
    <row r="39" spans="2:8">
      <c r="B39" s="11" t="str">
        <f>IFERROR(microk(list,TEXT(DATE($C$20,$A$18,B37),"MM/DD/YYYY"),2,0,-1),"")</f>
        <v/>
      </c>
      <c r="C39" s="11" t="str">
        <f>IFERROR(microk(list,TEXT(DATE($C$20,$A$18,C37),"MM/DD/YYYY"),2,0,-1),"")</f>
        <v/>
      </c>
      <c r="D39" s="11" t="str">
        <f>IFERROR(microk(list,TEXT(DATE($C$20,$A$18,D37),"MM/DD/YYYY"),2,0,-1),"")</f>
        <v/>
      </c>
      <c r="E39" s="11" t="str">
        <f>IFERROR(microk(list,TEXT(DATE($C$20,$A$18,E37),"MM/DD/YYYY"),2,0,-1),"")</f>
        <v/>
      </c>
      <c r="F39" s="11" t="str">
        <f>IFERROR(microk(list,TEXT(DATE($C$20,$A$18,F37),"MM/DD/YYYY"),2,0,-1),"")</f>
        <v/>
      </c>
      <c r="G39" s="11" t="str">
        <f>IFERROR(microk(list,TEXT(DATE($C$20,$A$18,G37),"MM/DD/YYYY"),2,0,-1),"")</f>
        <v/>
      </c>
      <c r="H39" s="11" t="str">
        <f>IFERROR(microk(list,TEXT(DATE($C$20,$A$18,H37),"MM/DD/YYYY"),2,0,-1),"")</f>
        <v/>
      </c>
    </row>
    <row r="40" spans="2:8">
      <c r="B40" s="3" t="str">
        <f>IFERROR(microk(list,TEXT(DATE($C$20,$A$18,B37),"MM/DD/YYYY"),3,0,-1),"")</f>
        <v/>
      </c>
      <c r="C40" s="3" t="str">
        <f>IFERROR(microk(list,TEXT(DATE($C$20,$A$18,C37),"MM/DD/YYYY"),3,0,-1),"")</f>
        <v/>
      </c>
      <c r="D40" s="3" t="str">
        <f>IFERROR(microk(list,TEXT(DATE($C$20,$A$18,D37),"MM/DD/YYYY"),3,0,-1),"")</f>
        <v/>
      </c>
      <c r="E40" s="3" t="str">
        <f>IFERROR(microk(list,TEXT(DATE($C$20,$A$18,E37),"MM/DD/YYYY"),3,0,-1),"")</f>
        <v/>
      </c>
      <c r="F40" s="3" t="str">
        <f>IFERROR(microk(list,TEXT(DATE($C$20,$A$18,F37),"MM/DD/YYYY"),3,0,-1),"")</f>
        <v/>
      </c>
      <c r="G40" s="3" t="str">
        <f>IFERROR(microk(list,TEXT(DATE($C$20,$A$18,G37),"MM/DD/YYYY"),3,0,-1),"")</f>
        <v/>
      </c>
      <c r="H40" s="3" t="str">
        <f>IFERROR(microk(list,TEXT(DATE($C$20,$A$18,H37),"MM/DD/YYYY"),3,0,-1),"")</f>
        <v/>
      </c>
    </row>
    <row r="41" spans="2:8">
      <c r="B41" s="7">
        <f>IFERROR(IF(EOMONTH(DATE($C$20,$A$18,1),0)&gt;DATE($C$20,$A$18,H37),H37+1,""),"")</f>
        <v>27</v>
      </c>
      <c r="C41" s="7">
        <f t="shared" ref="C41:H41" si="7">IFERROR(IF(EOMONTH(DATE($C$20,$A$18,1),0)&gt;DATE($C$20,$A$18,B41),B41+1,""),"")</f>
        <v>28</v>
      </c>
      <c r="D41" s="7">
        <f t="shared" si="7"/>
        <v>29</v>
      </c>
      <c r="E41" s="7">
        <f t="shared" si="7"/>
        <v>30</v>
      </c>
      <c r="F41" s="7" t="str">
        <f t="shared" si="7"/>
        <v/>
      </c>
      <c r="G41" s="7" t="str">
        <f t="shared" si="7"/>
        <v/>
      </c>
      <c r="H41" s="7" t="str">
        <f t="shared" si="7"/>
        <v/>
      </c>
    </row>
    <row r="42" spans="2:8">
      <c r="B42" s="11" t="str">
        <f t="shared" ref="B42:H42" si="8">IFERROR(IF(MATCH(DATE($C$20,$A$18,B41),$F$6:$F$15,0)&gt;0,INDEX($E$6:$E$15,MATCH(DATE($C$20,$A$18,B41),$F$6:$F$15,0),1),""),"")</f>
        <v/>
      </c>
      <c r="C42" s="11" t="str">
        <f t="shared" si="8"/>
        <v/>
      </c>
      <c r="D42" s="11" t="str">
        <f t="shared" si="8"/>
        <v/>
      </c>
      <c r="E42" s="11" t="str">
        <f t="shared" si="8"/>
        <v/>
      </c>
      <c r="F42" s="11" t="str">
        <f t="shared" si="8"/>
        <v/>
      </c>
      <c r="G42" s="11" t="str">
        <f t="shared" si="8"/>
        <v/>
      </c>
      <c r="H42" s="11" t="str">
        <f t="shared" si="8"/>
        <v/>
      </c>
    </row>
    <row r="43" spans="2:8">
      <c r="B43" s="11" t="str">
        <f>IFERROR(microk(list,TEXT(DATE($C$20,$A$18,B41),"MM/DD/YYYY"),2,0,-1),"")</f>
        <v/>
      </c>
      <c r="C43" s="11" t="str">
        <f>IFERROR(microk(list,TEXT(DATE($C$20,$A$18,C41),"MM/DD/YYYY"),2,0,-1),"")</f>
        <v/>
      </c>
      <c r="D43" s="11" t="str">
        <f>IFERROR(microk(list,TEXT(DATE($C$20,$A$18,D41),"MM/DD/YYYY"),2,0,-1),"")</f>
        <v/>
      </c>
      <c r="E43" s="11" t="str">
        <f>IFERROR(microk(list,TEXT(DATE($C$20,$A$18,E41),"MM/DD/YYYY"),2,0,-1),"")</f>
        <v/>
      </c>
      <c r="F43" s="11" t="str">
        <f>IFERROR(microk(list,TEXT(DATE($C$20,$A$18,F41),"MM/DD/YYYY"),2,0,-1),"")</f>
        <v/>
      </c>
      <c r="G43" s="11" t="str">
        <f>IFERROR(microk(list,TEXT(DATE($C$20,$A$18,G41),"MM/DD/YYYY"),2,0,-1),"")</f>
        <v/>
      </c>
      <c r="H43" s="11" t="str">
        <f>IFERROR(microk(list,TEXT(DATE($C$20,$A$18,H41),"MM/DD/YYYY"),2,0,-1),"")</f>
        <v/>
      </c>
    </row>
    <row r="44" spans="2:8">
      <c r="B44" s="3" t="str">
        <f>IFERROR(microk(list,TEXT(DATE($C$20,$A$18,B41),"MM/DD/YYYY"),3,0,-1),"")</f>
        <v/>
      </c>
      <c r="C44" s="3" t="str">
        <f>IFERROR(microk(list,TEXT(DATE($C$20,$A$18,C41),"MM/DD/YYYY"),3,0,-1),"")</f>
        <v/>
      </c>
      <c r="D44" s="3" t="str">
        <f>IFERROR(microk(list,TEXT(DATE($C$20,$A$18,D41),"MM/DD/YYYY"),3,0,-1),"")</f>
        <v/>
      </c>
      <c r="E44" s="3" t="str">
        <f>IFERROR(microk(list,TEXT(DATE($C$20,$A$18,E41),"MM/DD/YYYY"),3,0,-1),"")</f>
        <v/>
      </c>
      <c r="F44" s="3" t="str">
        <f>IFERROR(microk(list,TEXT(DATE($C$20,$A$18,F41),"MM/DD/YYYY"),3,0,-1),"")</f>
        <v/>
      </c>
      <c r="G44" s="3" t="str">
        <f>IFERROR(microk(list,TEXT(DATE($C$20,$A$18,G41),"MM/DD/YYYY"),3,0,-1),"")</f>
        <v/>
      </c>
      <c r="H44" s="3" t="str">
        <f>IFERROR(microk(list,TEXT(DATE($C$20,$A$18,H41),"MM/DD/YYYY"),3,0,-1),"")</f>
        <v/>
      </c>
    </row>
    <row r="45" spans="2:8">
      <c r="B45" s="7" t="str">
        <f>IFERROR(IF(EOMONTH(DATE($C$20,$A$18,1),0)&gt;DATE($C$20,$A$18,H41),H41+1,""),"")</f>
        <v/>
      </c>
      <c r="C45" s="7" t="str">
        <f t="shared" ref="C45:H45" si="9">IFERROR(IF(EOMONTH(DATE($C$20,$A$18,1),0)&gt;DATE($C$20,$A$18,B45),B45+1,""),"")</f>
        <v/>
      </c>
      <c r="D45" s="7" t="str">
        <f t="shared" si="9"/>
        <v/>
      </c>
      <c r="E45" s="7" t="str">
        <f t="shared" si="9"/>
        <v/>
      </c>
      <c r="F45" s="7" t="str">
        <f t="shared" si="9"/>
        <v/>
      </c>
      <c r="G45" s="7" t="str">
        <f t="shared" si="9"/>
        <v/>
      </c>
      <c r="H45" s="7" t="str">
        <f t="shared" si="9"/>
        <v/>
      </c>
    </row>
    <row r="46" spans="2:8">
      <c r="B46" s="11" t="str">
        <f t="shared" ref="B46:H46" si="10">IFERROR(IF(MATCH(DATE($C$20,$A$18,B45),$F$6:$F$15,0)&gt;0,INDEX($E$6:$E$15,MATCH(DATE($C$20,$A$18,B45),$F$6:$F$15,0),1),""),"")</f>
        <v/>
      </c>
      <c r="C46" s="11" t="str">
        <f t="shared" si="10"/>
        <v/>
      </c>
      <c r="D46" s="11" t="str">
        <f t="shared" si="10"/>
        <v/>
      </c>
      <c r="E46" s="11" t="str">
        <f t="shared" si="10"/>
        <v/>
      </c>
      <c r="F46" s="11" t="str">
        <f t="shared" si="10"/>
        <v/>
      </c>
      <c r="G46" s="11" t="str">
        <f t="shared" si="10"/>
        <v/>
      </c>
      <c r="H46" s="11" t="str">
        <f t="shared" si="10"/>
        <v/>
      </c>
    </row>
    <row r="47" spans="2:8">
      <c r="B47" s="11" t="str">
        <f>IFERROR(microk(list,TEXT(DATE($C$20,$A$18,B45),"DD/MM/YYYY"),2,0,-1),"")</f>
        <v/>
      </c>
      <c r="C47" s="11" t="str">
        <f>IFERROR(microk(list,TEXT(DATE($C$20,$A$18,C45),"DD/MM/YYYY"),2,0,-1),"")</f>
        <v/>
      </c>
      <c r="D47" s="11" t="str">
        <f>IFERROR(microk(list,TEXT(DATE($C$20,$A$18,D45),"DD/MM/YYYY"),2,0,-1),"")</f>
        <v/>
      </c>
      <c r="E47" s="11" t="str">
        <f>IFERROR(microk(list,TEXT(DATE($C$20,$A$18,E45),"DD/MM/YYYY"),2,0,-1),"")</f>
        <v/>
      </c>
      <c r="F47" s="11" t="str">
        <f>IFERROR(microk(list,TEXT(DATE($C$20,$A$18,F45),"DD/MM/YYYY"),2,0,-1),"")</f>
        <v/>
      </c>
      <c r="G47" s="11" t="str">
        <f>IFERROR(microk(list,TEXT(DATE($C$20,$A$18,G45),"DD/MM/YYYY"),2,0,-1),"")</f>
        <v/>
      </c>
      <c r="H47" s="11" t="str">
        <f>IFERROR(microk(list,TEXT(DATE($C$20,$A$18,H45),"DD/MM/YYYY"),2,0,-1),"")</f>
        <v/>
      </c>
    </row>
    <row r="48" spans="2:8">
      <c r="B48" s="3" t="str">
        <f>IFERROR(microk(list,TEXT(DATE($C$20,$A$18,B45),"DD/MM/YYYY"),3,0,-1),"")</f>
        <v/>
      </c>
      <c r="C48" s="3" t="str">
        <f>IFERROR(microk(list,TEXT(DATE($C$20,$A$18,C45),"DD/MM/YYYY"),3,0,-1),"")</f>
        <v/>
      </c>
      <c r="D48" s="3" t="str">
        <f>IFERROR(microk(list,TEXT(DATE($C$20,$A$18,D45),"DD/MM/YYYY"),3,0,-1),"")</f>
        <v/>
      </c>
      <c r="E48" s="3" t="str">
        <f>IFERROR(microk(list,TEXT(DATE($C$20,$A$18,E45),"DD/MM/YYYY"),3,0,-1),"")</f>
        <v/>
      </c>
      <c r="F48" s="3" t="str">
        <f>IFERROR(microk(list,TEXT(DATE($C$20,$A$18,F45),"DD/MM/YYYY"),3,0,-1),"")</f>
        <v/>
      </c>
      <c r="G48" s="3" t="str">
        <f>IFERROR(microk(list,TEXT(DATE($C$20,$A$18,G45),"DD/MM/YYYY"),3,0,-1),"")</f>
        <v/>
      </c>
      <c r="H48" s="3" t="str">
        <f>IFERROR(microk(list,TEXT(DATE($C$20,$A$18,H45),"DD/MM/YYYY"),3,0,-1),"")</f>
        <v/>
      </c>
    </row>
  </sheetData>
  <mergeCells count="6">
    <mergeCell ref="B18:B19"/>
    <mergeCell ref="A18:A19"/>
    <mergeCell ref="C18:C19"/>
    <mergeCell ref="B20:B21"/>
    <mergeCell ref="C20:C21"/>
    <mergeCell ref="A20:A21"/>
  </mergeCells>
  <conditionalFormatting sqref="B41:H41 B45:H45">
    <cfRule type="expression" dxfId="0" priority="1">
      <formula>+IF($B$41:$H$48=$B$41:$H$48," ")</formula>
    </cfRule>
  </conditionalFormatting>
  <pageMargins left="0.7" right="0.7" top="0.75" bottom="0.75" header="0.3" footer="0.3"/>
  <pageSetup orientation="portrait" r:id="rId1"/>
  <legacyDrawing r:id="rId2"/>
  <controls>
    <control shapeId="1025" r:id="rId3" name="SpinButton1"/>
    <control shapeId="1026" r:id="rId4" name="Spin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list</vt:lpstr>
    </vt:vector>
  </TitlesOfParts>
  <Company>Johnson &amp; Johnson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Olarte, Camila [MDDCO]</dc:creator>
  <cp:lastModifiedBy>microk</cp:lastModifiedBy>
  <dcterms:created xsi:type="dcterms:W3CDTF">2013-12-02T21:22:57Z</dcterms:created>
  <dcterms:modified xsi:type="dcterms:W3CDTF">2015-09-03T15:27:19Z</dcterms:modified>
</cp:coreProperties>
</file>